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1.HANSOLL INDO JAVA\01.PEMBUKUAN\hutang\import erp\2026\08\"/>
    </mc:Choice>
  </mc:AlternateContent>
  <xr:revisionPtr revIDLastSave="0" documentId="8_{5E7D85D0-4568-4865-86AD-4222859FE3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edgerJournalTrans" sheetId="2" r:id="rId1"/>
    <sheet name="Costcenter" sheetId="4" r:id="rId2"/>
    <sheet name="Sub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2" l="1"/>
  <c r="Q12" i="2"/>
  <c r="Q6" i="2" l="1"/>
  <c r="Q7" i="2" s="1"/>
</calcChain>
</file>

<file path=xl/sharedStrings.xml><?xml version="1.0" encoding="utf-8"?>
<sst xmlns="http://schemas.openxmlformats.org/spreadsheetml/2006/main" count="264" uniqueCount="157">
  <si>
    <t>Date</t>
  </si>
  <si>
    <t>Account type</t>
  </si>
  <si>
    <t>Account</t>
  </si>
  <si>
    <t>Debit</t>
  </si>
  <si>
    <t>Credit</t>
  </si>
  <si>
    <t>Currency</t>
  </si>
  <si>
    <t>FD_7</t>
  </si>
  <si>
    <t>FD_8</t>
  </si>
  <si>
    <t>FD_9</t>
  </si>
  <si>
    <t>FD_10</t>
  </si>
  <si>
    <t>Posting Profile</t>
  </si>
  <si>
    <t>Offset Account</t>
  </si>
  <si>
    <t>Invoice</t>
  </si>
  <si>
    <t>Document</t>
  </si>
  <si>
    <t>Qty</t>
  </si>
  <si>
    <t>Rate</t>
  </si>
  <si>
    <t>Usance No</t>
  </si>
  <si>
    <t>L/C번호</t>
  </si>
  <si>
    <t>Ref Bank Id</t>
  </si>
  <si>
    <t>Int Rate</t>
  </si>
  <si>
    <t>AP_GEN</t>
  </si>
  <si>
    <t>V10_1331</t>
  </si>
  <si>
    <t>YES</t>
    <phoneticPr fontId="0" type="Hiragana"/>
  </si>
  <si>
    <t>Ledger</t>
  </si>
  <si>
    <t>Investment</t>
  </si>
  <si>
    <t>Style</t>
  </si>
  <si>
    <t>Item sales tax group</t>
    <phoneticPr fontId="0" type="Hiragana"/>
  </si>
  <si>
    <t>Customer</t>
    <phoneticPr fontId="0" type="Hiragana"/>
  </si>
  <si>
    <t>Bank</t>
    <phoneticPr fontId="0" type="Hiragana"/>
  </si>
  <si>
    <t>Ledger</t>
    <phoneticPr fontId="0" type="Hiragana"/>
  </si>
  <si>
    <t>Fixed assets</t>
  </si>
  <si>
    <t>Supplier</t>
    <phoneticPr fontId="0" type="Hiragana"/>
  </si>
  <si>
    <t>Name</t>
  </si>
  <si>
    <t>EUR</t>
  </si>
  <si>
    <t>Euro</t>
  </si>
  <si>
    <t>GTQ</t>
  </si>
  <si>
    <t>Quetzal</t>
  </si>
  <si>
    <t>IDR</t>
  </si>
  <si>
    <t>Rupiah</t>
  </si>
  <si>
    <t>JPY</t>
  </si>
  <si>
    <t>Yen</t>
  </si>
  <si>
    <t>KHR</t>
  </si>
  <si>
    <t>Riel</t>
  </si>
  <si>
    <t>KRW</t>
  </si>
  <si>
    <t>Won</t>
  </si>
  <si>
    <t>NIO</t>
  </si>
  <si>
    <t>Cordoba Oro</t>
  </si>
  <si>
    <t>PHP</t>
  </si>
  <si>
    <t>Philippine Peso</t>
  </si>
  <si>
    <t>USD</t>
  </si>
  <si>
    <t>US Dollar</t>
  </si>
  <si>
    <t>VND</t>
  </si>
  <si>
    <t>Dong</t>
  </si>
  <si>
    <t>Sales tax group</t>
  </si>
  <si>
    <t>Description</t>
  </si>
  <si>
    <t>V00_1331</t>
  </si>
  <si>
    <t>0% (hàng hóa, dịch vụ)</t>
  </si>
  <si>
    <t>V00_1332</t>
  </si>
  <si>
    <t>0% (TSCD)</t>
  </si>
  <si>
    <t>V00_1333</t>
  </si>
  <si>
    <t>0% (hàng nhập khẩu)</t>
  </si>
  <si>
    <t>V05_1331</t>
  </si>
  <si>
    <t>5% (hàng hóa, dịch vụ)</t>
  </si>
  <si>
    <t>V05_1332</t>
  </si>
  <si>
    <t>5% (TSCD)</t>
  </si>
  <si>
    <t>V05_1333</t>
  </si>
  <si>
    <t>5% (hàng nhập khẩu)</t>
  </si>
  <si>
    <t>10% (hàng hóa, dịch vụ)</t>
  </si>
  <si>
    <t>V10_1332</t>
  </si>
  <si>
    <t>10% (TSCD)</t>
  </si>
  <si>
    <t>V10_1333</t>
  </si>
  <si>
    <t>10% (hàng nhập khẩu)</t>
  </si>
  <si>
    <t>AR_GEN</t>
    <phoneticPr fontId="0" type="Hiragana"/>
  </si>
  <si>
    <t>FD_78</t>
  </si>
  <si>
    <t>FD_89</t>
  </si>
  <si>
    <t>FD_910</t>
  </si>
  <si>
    <t>FD_1011</t>
  </si>
  <si>
    <t>VAT Tax code(VNM)2</t>
  </si>
  <si>
    <t>1</t>
    <phoneticPr fontId="0" type="Hiragana"/>
  </si>
  <si>
    <t>2</t>
    <phoneticPr fontId="0" type="Hiragana"/>
  </si>
  <si>
    <t>3</t>
    <phoneticPr fontId="0" type="Hiragana"/>
  </si>
  <si>
    <t>Column1</t>
  </si>
  <si>
    <t>Column2</t>
  </si>
  <si>
    <t>Cost Center</t>
  </si>
  <si>
    <t>Buyer</t>
  </si>
  <si>
    <t>Supplier</t>
  </si>
  <si>
    <t>Bank Account</t>
  </si>
  <si>
    <t>VAT
Symbol of inv.</t>
  </si>
  <si>
    <t>VAT inv. No.</t>
  </si>
  <si>
    <t>VAT Supply amount</t>
  </si>
  <si>
    <t>VAT One time</t>
  </si>
  <si>
    <t>VAT Supplier name</t>
  </si>
  <si>
    <t/>
  </si>
  <si>
    <t/>
  </si>
  <si>
    <t>Only VAT</t>
  </si>
  <si>
    <t>VAT Code</t>
  </si>
  <si>
    <t>VAT Y/N</t>
  </si>
  <si>
    <t>Vietnam</t>
  </si>
  <si>
    <t>Seq</t>
  </si>
  <si>
    <t>FD_1</t>
  </si>
  <si>
    <t>FD_2</t>
  </si>
  <si>
    <t>FD_3</t>
  </si>
  <si>
    <t>FD_4</t>
  </si>
  <si>
    <t>FD_5</t>
  </si>
  <si>
    <t>FD_6</t>
  </si>
  <si>
    <t>Transaction text</t>
  </si>
  <si>
    <t>SalesTaxCode</t>
  </si>
  <si>
    <t>Item sales tax group</t>
  </si>
  <si>
    <t>Offset Account type</t>
  </si>
  <si>
    <t>FD_12</t>
  </si>
  <si>
    <t>FD_23</t>
  </si>
  <si>
    <t>FD_34</t>
  </si>
  <si>
    <t>FD_45</t>
  </si>
  <si>
    <t>FD_56</t>
  </si>
  <si>
    <t>FD_67</t>
  </si>
  <si>
    <t>Payment date</t>
  </si>
  <si>
    <t>Terms of payment</t>
  </si>
  <si>
    <t>Document date</t>
  </si>
  <si>
    <t/>
  </si>
  <si>
    <t>11990501</t>
  </si>
  <si>
    <t>AP_OTP</t>
  </si>
  <si>
    <t>ledger</t>
  </si>
  <si>
    <t>I0500000</t>
  </si>
  <si>
    <t>i2</t>
  </si>
  <si>
    <t>215011</t>
  </si>
  <si>
    <t>43011011</t>
  </si>
  <si>
    <t>I05_902020</t>
  </si>
  <si>
    <t>43011099</t>
  </si>
  <si>
    <t>21020401</t>
  </si>
  <si>
    <t>Terminal Handling for walmart inv E832790227-PT Expeditors Indonesia</t>
  </si>
  <si>
    <t>Carrier BL fee,doc,CFS,VGM for walmart inv E832790227-PT Expeditors Indonesia</t>
  </si>
  <si>
    <t>0400042606998437 -walmart inv E832790227-PT Expeditors Indonesia</t>
  </si>
  <si>
    <t>PPh 23 export charge for walmart inv E832790227-PT Expeditors Indonesia</t>
  </si>
  <si>
    <t>AP export charge  for walmart inv E832790227-PT Expeditors Indonesia</t>
  </si>
  <si>
    <t>E832790227</t>
  </si>
  <si>
    <t>0400042606998437</t>
  </si>
  <si>
    <t>Terminal Handling for walmart inv E832790226-PT Expeditors Indonesia</t>
  </si>
  <si>
    <t>Carrier BL fee,doc,CFS,VGM for walmart inv E832790226-PT Expeditors Indonesia</t>
  </si>
  <si>
    <t>0400042606998436 -walmart inv E832790226-PT Expeditors Indonesia</t>
  </si>
  <si>
    <t>PPh 23 export charge for walmart inv E832790226-PT Expeditors Indonesia</t>
  </si>
  <si>
    <t>AP export charge  for walmart inv E832790226-PT Expeditors Indonesia</t>
  </si>
  <si>
    <t>E832790226</t>
  </si>
  <si>
    <t>'0400042606998436</t>
  </si>
  <si>
    <t>Terminal Handling for walmart inv E832790228-PT Expeditors Indonesia</t>
  </si>
  <si>
    <t>Carrier BL fee,doc,CFS,VGM for walmart inv E832790228-PT Expeditors Indonesia</t>
  </si>
  <si>
    <t>0400042606998438 -walmart inv E832790228-PT Expeditors Indonesia</t>
  </si>
  <si>
    <t>PPh 23 export charge for walmart inv E832790228-PT Expeditors Indonesia</t>
  </si>
  <si>
    <t>AP export charge  for walmart inv E832790228-PT Expeditors Indonesia</t>
  </si>
  <si>
    <t>E832790228</t>
  </si>
  <si>
    <t>0400042606998438</t>
  </si>
  <si>
    <t>Terminal Handling for walmart inv E832790229-PT Expeditors Indonesia</t>
  </si>
  <si>
    <t>Carrier BL fee,doc,CFS,VGM for walmart inv E832790229-PT Expeditors Indonesia</t>
  </si>
  <si>
    <t>0400042606998439 -walmart inv E832790229-PT Expeditors Indonesia</t>
  </si>
  <si>
    <t>PPh 23 export charge for walmart inv E832790229-PT Expeditors Indonesia</t>
  </si>
  <si>
    <t>AP export charge  for walmart inv E832790229-PT Expeditors Indonesia</t>
  </si>
  <si>
    <t>E832790229</t>
  </si>
  <si>
    <t>0400042606998439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</si>
</sst>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_);\(#,##0.0000\)"/>
    <numFmt numFmtId="165" formatCode="_(* #,##0_);_(* \(#,##0\);_(* \-_);_(@_)"/>
    <numFmt numFmtId="166" formatCode="_(* #,##0.00_);_(* \(#,##0.00\);_(* \-??_);_(@_)"/>
    <numFmt numFmtId="167" formatCode="_(\$* #,##0.00_);_(\$* \(#,##0.00\);_(\$* \-??_);_(@_)"/>
    <numFmt numFmtId="168" formatCode="_(* #,##0_);_(* \(#,##0\);_(* &quot;-&quot;??_);_(@_)"/>
    <numFmt numFmtId="169" formatCode="dd\-mm\-yyyy"/>
  </numFmts>
  <fonts count="47">
    <font>
      <sz val="9"/>
      <color theme="1"/>
      <name val="맑은 고딕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theme="0"/>
      <name val="Calibri"/>
      <family val="3"/>
      <charset val="129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0"/>
      <name val="Arial"/>
      <family val="2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color indexed="8"/>
      <name val="MS Sans Serif"/>
      <family val="2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맑은 고딕"/>
      <family val="2"/>
    </font>
    <font>
      <b/>
      <sz val="11"/>
      <color theme="1"/>
      <name val="Calibri Light"/>
      <family val="2"/>
    </font>
    <font>
      <b/>
      <sz val="9"/>
      <color theme="1"/>
      <name val="Calibri Light"/>
      <family val="2"/>
    </font>
    <font>
      <b/>
      <sz val="11"/>
      <name val="Calibri Light"/>
      <family val="2"/>
    </font>
    <font>
      <sz val="10"/>
      <color theme="1"/>
      <name val="Calibri Light"/>
      <family val="2"/>
    </font>
    <font>
      <sz val="9"/>
      <color theme="1"/>
      <name val="Calibri Light"/>
      <family val="2"/>
    </font>
    <font>
      <sz val="9"/>
      <name val="Calibri Light"/>
      <family val="2"/>
    </font>
    <font>
      <b/>
      <sz val="9"/>
      <color theme="0"/>
      <name val="Calibri Light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맑은 고딕"/>
      <family val="2"/>
    </font>
  </fonts>
  <fills count="3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41">
    <xf numFmtId="0" fontId="0" fillId="0" borderId="0"/>
    <xf numFmtId="0" fontId="6" fillId="0" borderId="0">
      <alignment vertical="center"/>
    </xf>
    <xf numFmtId="0" fontId="7" fillId="2" borderId="0" applyNumberFormat="0" applyBorder="0" applyAlignment="0" applyProtection="0"/>
    <xf numFmtId="0" fontId="5" fillId="3" borderId="0" applyNumberFormat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1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6" borderId="0" applyNumberFormat="0" applyBorder="0" applyAlignment="0" applyProtection="0"/>
    <xf numFmtId="0" fontId="14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6" fillId="11" borderId="0" applyNumberFormat="0" applyBorder="0" applyAlignment="0" applyProtection="0"/>
    <xf numFmtId="0" fontId="17" fillId="28" borderId="1" applyNumberFormat="0" applyAlignment="0" applyProtection="0"/>
    <xf numFmtId="0" fontId="18" fillId="29" borderId="2" applyNumberFormat="0" applyAlignment="0" applyProtection="0"/>
    <xf numFmtId="41" fontId="13" fillId="0" borderId="0" applyFont="0" applyFill="0" applyBorder="0" applyAlignment="0" applyProtection="0"/>
    <xf numFmtId="165" fontId="12" fillId="0" borderId="0" applyFill="0" applyBorder="0" applyAlignment="0" applyProtection="0"/>
    <xf numFmtId="165" fontId="12" fillId="0" borderId="0" applyFill="0" applyBorder="0" applyAlignment="0" applyProtection="0"/>
    <xf numFmtId="165" fontId="12" fillId="0" borderId="0" applyFill="0" applyBorder="0" applyAlignment="0" applyProtection="0"/>
    <xf numFmtId="165" fontId="12" fillId="0" borderId="0" applyFill="0" applyBorder="0" applyAlignment="0" applyProtection="0"/>
    <xf numFmtId="165" fontId="12" fillId="0" borderId="0" applyFill="0" applyBorder="0" applyAlignment="0" applyProtection="0"/>
    <xf numFmtId="41" fontId="14" fillId="0" borderId="0" applyFont="0" applyFill="0" applyBorder="0" applyAlignment="0" applyProtection="0"/>
    <xf numFmtId="165" fontId="12" fillId="0" borderId="0" applyFill="0" applyBorder="0" applyAlignment="0" applyProtection="0"/>
    <xf numFmtId="165" fontId="12" fillId="0" borderId="0" applyFill="0" applyBorder="0" applyAlignment="0" applyProtection="0"/>
    <xf numFmtId="165" fontId="12" fillId="0" borderId="0" applyFill="0" applyBorder="0" applyAlignment="0" applyProtection="0"/>
    <xf numFmtId="165" fontId="12" fillId="0" borderId="0" applyFill="0" applyBorder="0" applyAlignment="0" applyProtection="0"/>
    <xf numFmtId="165" fontId="12" fillId="0" borderId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12" fillId="0" borderId="0" applyFill="0" applyBorder="0" applyAlignment="0" applyProtection="0"/>
    <xf numFmtId="166" fontId="12" fillId="0" borderId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12" fillId="0" borderId="0" applyFill="0" applyBorder="0" applyAlignment="0" applyProtection="0"/>
    <xf numFmtId="166" fontId="12" fillId="0" borderId="0" applyFill="0" applyBorder="0" applyAlignment="0" applyProtection="0"/>
    <xf numFmtId="166" fontId="12" fillId="0" borderId="0" applyFill="0" applyBorder="0" applyAlignment="0" applyProtection="0"/>
    <xf numFmtId="166" fontId="12" fillId="0" borderId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12" fillId="0" borderId="0" applyFill="0" applyBorder="0" applyAlignment="0" applyProtection="0"/>
    <xf numFmtId="167" fontId="12" fillId="0" borderId="0" applyFill="0" applyBorder="0" applyAlignment="0" applyProtection="0"/>
    <xf numFmtId="44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12" borderId="0" applyNumberFormat="0" applyBorder="0" applyAlignment="0" applyProtection="0"/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15" borderId="1" applyNumberFormat="0" applyAlignment="0" applyProtection="0"/>
    <xf numFmtId="0" fontId="26" fillId="0" borderId="6" applyNumberFormat="0" applyFill="0" applyAlignment="0" applyProtection="0"/>
    <xf numFmtId="0" fontId="27" fillId="30" borderId="0" applyNumberFormat="0" applyBorder="0" applyAlignment="0" applyProtection="0"/>
    <xf numFmtId="0" fontId="3" fillId="0" borderId="0"/>
    <xf numFmtId="0" fontId="13" fillId="0" borderId="0"/>
    <xf numFmtId="0" fontId="19" fillId="0" borderId="0"/>
    <xf numFmtId="0" fontId="12" fillId="0" borderId="0"/>
    <xf numFmtId="0" fontId="14" fillId="0" borderId="0"/>
    <xf numFmtId="0" fontId="3" fillId="0" borderId="0"/>
    <xf numFmtId="0" fontId="19" fillId="0" borderId="0"/>
    <xf numFmtId="0" fontId="12" fillId="0" borderId="0"/>
    <xf numFmtId="0" fontId="3" fillId="0" borderId="0"/>
    <xf numFmtId="0" fontId="12" fillId="0" borderId="0"/>
    <xf numFmtId="0" fontId="28" fillId="0" borderId="0"/>
    <xf numFmtId="0" fontId="3" fillId="0" borderId="0"/>
    <xf numFmtId="0" fontId="14" fillId="31" borderId="7" applyNumberFormat="0" applyFont="0" applyAlignment="0" applyProtection="0"/>
    <xf numFmtId="0" fontId="29" fillId="28" borderId="8" applyNumberForma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>
      <alignment vertical="center"/>
    </xf>
    <xf numFmtId="43" fontId="36" fillId="0" borderId="0" applyFont="0" applyFill="0" applyBorder="0" applyAlignment="0" applyProtection="0"/>
  </cellStyleXfs>
  <cellXfs count="60">
    <xf numFmtId="0" fontId="0" fillId="0" borderId="0" xfId="0"/>
    <xf numFmtId="0" fontId="9" fillId="0" borderId="0" xfId="0" applyFont="1"/>
    <xf numFmtId="49" fontId="8" fillId="4" borderId="0" xfId="2" applyNumberFormat="1" applyFont="1" applyFill="1" applyAlignment="1">
      <alignment horizontal="center" vertical="top"/>
    </xf>
    <xf numFmtId="0" fontId="10" fillId="0" borderId="0" xfId="0" applyFont="1"/>
    <xf numFmtId="49" fontId="11" fillId="5" borderId="0" xfId="2" applyNumberFormat="1" applyFont="1" applyFill="1" applyAlignment="1">
      <alignment horizontal="center" vertical="top"/>
    </xf>
    <xf numFmtId="49" fontId="9" fillId="0" borderId="0" xfId="0" applyNumberFormat="1" applyFont="1" applyAlignment="1">
      <alignment horizontal="left" vertical="top"/>
    </xf>
    <xf numFmtId="49" fontId="10" fillId="0" borderId="0" xfId="0" applyNumberFormat="1" applyFont="1" applyAlignment="1">
      <alignment horizontal="left"/>
    </xf>
    <xf numFmtId="49" fontId="34" fillId="7" borderId="0" xfId="0" applyNumberFormat="1" applyFont="1" applyFill="1" applyAlignment="1">
      <alignment vertical="top" wrapText="1"/>
    </xf>
    <xf numFmtId="49" fontId="33" fillId="9" borderId="0" xfId="0" applyNumberFormat="1" applyFont="1" applyFill="1" applyAlignment="1">
      <alignment vertical="top" wrapText="1"/>
    </xf>
    <xf numFmtId="49" fontId="34" fillId="9" borderId="0" xfId="0" applyNumberFormat="1" applyFont="1" applyFill="1" applyAlignment="1">
      <alignment vertical="top" wrapText="1"/>
    </xf>
    <xf numFmtId="49" fontId="35" fillId="8" borderId="0" xfId="2" applyNumberFormat="1" applyFont="1" applyFill="1" applyBorder="1" applyAlignment="1">
      <alignment horizontal="center" vertical="top" wrapText="1"/>
    </xf>
    <xf numFmtId="49" fontId="35" fillId="4" borderId="0" xfId="2" applyNumberFormat="1" applyFont="1" applyFill="1" applyBorder="1" applyAlignment="1">
      <alignment horizontal="center" vertical="top" wrapText="1"/>
    </xf>
    <xf numFmtId="49" fontId="35" fillId="0" borderId="0" xfId="0" applyNumberFormat="1" applyFont="1" applyAlignment="1">
      <alignment horizontal="center" vertical="top" wrapText="1"/>
    </xf>
    <xf numFmtId="37" fontId="37" fillId="32" borderId="0" xfId="3" applyNumberFormat="1" applyFont="1" applyFill="1" applyAlignment="1">
      <alignment horizontal="center" vertical="center" wrapText="1"/>
    </xf>
    <xf numFmtId="14" fontId="37" fillId="32" borderId="0" xfId="3" applyNumberFormat="1" applyFont="1" applyFill="1" applyAlignment="1">
      <alignment horizontal="center" vertical="center" wrapText="1"/>
    </xf>
    <xf numFmtId="49" fontId="37" fillId="33" borderId="0" xfId="3" applyNumberFormat="1" applyFont="1" applyFill="1" applyAlignment="1">
      <alignment horizontal="center" vertical="center" wrapText="1"/>
    </xf>
    <xf numFmtId="49" fontId="38" fillId="34" borderId="0" xfId="3" applyNumberFormat="1" applyFont="1" applyFill="1" applyAlignment="1">
      <alignment horizontal="center" vertical="center" wrapText="1"/>
    </xf>
    <xf numFmtId="49" fontId="37" fillId="34" borderId="0" xfId="3" applyNumberFormat="1" applyFont="1" applyFill="1" applyAlignment="1">
      <alignment horizontal="center" vertical="center" wrapText="1"/>
    </xf>
    <xf numFmtId="49" fontId="37" fillId="32" borderId="0" xfId="3" applyNumberFormat="1" applyFont="1" applyFill="1" applyAlignment="1">
      <alignment horizontal="center" vertical="center" wrapText="1"/>
    </xf>
    <xf numFmtId="164" fontId="37" fillId="32" borderId="0" xfId="3" applyNumberFormat="1" applyFont="1" applyFill="1" applyAlignment="1">
      <alignment horizontal="center" vertical="center" wrapText="1"/>
    </xf>
    <xf numFmtId="49" fontId="40" fillId="32" borderId="0" xfId="3" applyNumberFormat="1" applyFont="1" applyFill="1" applyAlignment="1">
      <alignment horizontal="center" vertical="center" wrapText="1"/>
    </xf>
    <xf numFmtId="49" fontId="38" fillId="32" borderId="0" xfId="3" applyNumberFormat="1" applyFont="1" applyFill="1" applyAlignment="1">
      <alignment horizontal="center" vertical="center" wrapText="1"/>
    </xf>
    <xf numFmtId="49" fontId="37" fillId="35" borderId="0" xfId="3" applyNumberFormat="1" applyFont="1" applyFill="1" applyAlignment="1">
      <alignment horizontal="center" vertical="center" wrapText="1"/>
    </xf>
    <xf numFmtId="49" fontId="38" fillId="36" borderId="0" xfId="3" applyNumberFormat="1" applyFont="1" applyFill="1" applyAlignment="1">
      <alignment horizontal="center" vertical="center" wrapText="1"/>
    </xf>
    <xf numFmtId="49" fontId="39" fillId="36" borderId="0" xfId="3" applyNumberFormat="1" applyFont="1" applyFill="1" applyAlignment="1">
      <alignment horizontal="center" vertical="center" wrapText="1"/>
    </xf>
    <xf numFmtId="39" fontId="37" fillId="32" borderId="0" xfId="3" applyNumberFormat="1" applyFont="1" applyFill="1" applyAlignment="1">
      <alignment horizontal="center" vertical="center" wrapText="1"/>
    </xf>
    <xf numFmtId="49" fontId="37" fillId="3" borderId="0" xfId="3" applyNumberFormat="1" applyFont="1" applyAlignment="1">
      <alignment horizontal="center" vertical="center" wrapText="1"/>
    </xf>
    <xf numFmtId="39" fontId="37" fillId="3" borderId="0" xfId="3" applyNumberFormat="1" applyFont="1" applyAlignment="1">
      <alignment horizontal="center" vertical="center" wrapText="1"/>
    </xf>
    <xf numFmtId="49" fontId="38" fillId="7" borderId="0" xfId="122" applyNumberFormat="1" applyFont="1" applyFill="1" applyAlignment="1">
      <alignment vertical="center" wrapText="1"/>
    </xf>
    <xf numFmtId="49" fontId="41" fillId="7" borderId="0" xfId="122" applyNumberFormat="1" applyFont="1" applyFill="1" applyAlignment="1">
      <alignment vertical="center" wrapText="1"/>
    </xf>
    <xf numFmtId="168" fontId="41" fillId="7" borderId="0" xfId="140" applyNumberFormat="1" applyFont="1" applyFill="1" applyAlignment="1">
      <alignment vertical="center" wrapText="1"/>
    </xf>
    <xf numFmtId="49" fontId="42" fillId="7" borderId="0" xfId="122" applyNumberFormat="1" applyFont="1" applyFill="1" applyAlignment="1">
      <alignment vertical="center" wrapText="1"/>
    </xf>
    <xf numFmtId="37" fontId="43" fillId="2" borderId="0" xfId="2" applyNumberFormat="1" applyFont="1" applyAlignment="1">
      <alignment horizontal="center" vertical="center" wrapText="1"/>
    </xf>
    <xf numFmtId="14" fontId="43" fillId="2" borderId="0" xfId="2" applyNumberFormat="1" applyFont="1" applyAlignment="1">
      <alignment horizontal="center" vertical="center" wrapText="1"/>
    </xf>
    <xf numFmtId="49" fontId="43" fillId="4" borderId="0" xfId="2" applyNumberFormat="1" applyFont="1" applyFill="1" applyAlignment="1">
      <alignment horizontal="center" vertical="center" wrapText="1"/>
    </xf>
    <xf numFmtId="164" fontId="43" fillId="4" borderId="0" xfId="2" applyNumberFormat="1" applyFont="1" applyFill="1" applyAlignment="1">
      <alignment horizontal="center" vertical="center" wrapText="1"/>
    </xf>
    <xf numFmtId="49" fontId="43" fillId="8" borderId="0" xfId="2" applyNumberFormat="1" applyFont="1" applyFill="1" applyAlignment="1">
      <alignment horizontal="center" vertical="center" wrapText="1"/>
    </xf>
    <xf numFmtId="49" fontId="43" fillId="37" borderId="0" xfId="2" applyNumberFormat="1" applyFont="1" applyFill="1" applyAlignment="1">
      <alignment horizontal="center" vertical="center" wrapText="1"/>
    </xf>
    <xf numFmtId="14" fontId="43" fillId="6" borderId="0" xfId="2" applyNumberFormat="1" applyFont="1" applyFill="1" applyAlignment="1">
      <alignment horizontal="center" vertical="center" wrapText="1"/>
    </xf>
    <xf numFmtId="49" fontId="43" fillId="6" borderId="0" xfId="2" applyNumberFormat="1" applyFont="1" applyFill="1" applyAlignment="1">
      <alignment horizontal="center" vertical="center" wrapText="1"/>
    </xf>
    <xf numFmtId="39" fontId="43" fillId="6" borderId="0" xfId="2" applyNumberFormat="1" applyFont="1" applyFill="1" applyAlignment="1">
      <alignment horizontal="center" vertical="center" wrapText="1"/>
    </xf>
    <xf numFmtId="49" fontId="43" fillId="2" borderId="0" xfId="2" applyNumberFormat="1" applyFont="1" applyAlignment="1">
      <alignment horizontal="center" vertical="center" wrapText="1"/>
    </xf>
    <xf numFmtId="39" fontId="43" fillId="2" borderId="0" xfId="2" applyNumberFormat="1" applyFont="1" applyAlignment="1">
      <alignment horizontal="center" vertical="center" wrapText="1"/>
    </xf>
    <xf numFmtId="168" fontId="43" fillId="8" borderId="0" xfId="140" applyNumberFormat="1" applyFont="1" applyFill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49" fontId="44" fillId="0" borderId="0" xfId="122" applyNumberFormat="1" applyFont="1" applyAlignment="1">
      <alignment horizontal="left" vertical="center"/>
    </xf>
    <xf numFmtId="169" fontId="44" fillId="0" borderId="0" xfId="0" applyNumberFormat="1" applyFont="1"/>
    <xf numFmtId="0" fontId="44" fillId="0" borderId="0" xfId="0" applyFont="1"/>
    <xf numFmtId="0" fontId="44" fillId="0" borderId="0" xfId="0" quotePrefix="1" applyFont="1"/>
    <xf numFmtId="43" fontId="39" fillId="32" borderId="0" xfId="140" applyFont="1" applyFill="1" applyAlignment="1">
      <alignment horizontal="center" vertical="center" wrapText="1"/>
    </xf>
    <xf numFmtId="43" fontId="37" fillId="32" borderId="0" xfId="140" applyFont="1" applyFill="1" applyAlignment="1">
      <alignment horizontal="center" vertical="center" wrapText="1"/>
    </xf>
    <xf numFmtId="43" fontId="43" fillId="4" borderId="0" xfId="140" applyFont="1" applyFill="1" applyAlignment="1">
      <alignment horizontal="center" vertical="center" wrapText="1"/>
    </xf>
    <xf numFmtId="43" fontId="45" fillId="0" borderId="0" xfId="140" applyFont="1"/>
    <xf numFmtId="43" fontId="44" fillId="0" borderId="0" xfId="140" applyFont="1"/>
    <xf numFmtId="43" fontId="44" fillId="0" borderId="0" xfId="140" applyFont="1" applyAlignment="1">
      <alignment vertical="center"/>
    </xf>
    <xf numFmtId="43" fontId="0" fillId="0" borderId="0" xfId="140" applyFont="1"/>
    <xf numFmtId="0" fontId="44" fillId="0" borderId="0" xfId="0" quotePrefix="1" applyFont="1" applyAlignment="1">
      <alignment vertical="center"/>
    </xf>
    <xf numFmtId="0" fontId="0" fillId="0" borderId="0" xfId="0" applyAlignment="1">
      <alignment horizontal="center"/>
    </xf>
    <xf numFmtId="0" fontId="46" fillId="0" borderId="0" xfId="0" applyFont="1"/>
  </cellXfs>
  <cellStyles count="141">
    <cellStyle name="20% - Accent1 2" xfId="11" xr:uid="{00000000-0005-0000-0000-000000000000}"/>
    <cellStyle name="20% - Accent2 2" xfId="12" xr:uid="{00000000-0005-0000-0000-000001000000}"/>
    <cellStyle name="20% - Accent3 2" xfId="13" xr:uid="{00000000-0005-0000-0000-000002000000}"/>
    <cellStyle name="20% - Accent4 2" xfId="14" xr:uid="{00000000-0005-0000-0000-000003000000}"/>
    <cellStyle name="20% - Accent5 2" xfId="15" xr:uid="{00000000-0005-0000-0000-000004000000}"/>
    <cellStyle name="20% - Accent6 2" xfId="16" xr:uid="{00000000-0005-0000-0000-000005000000}"/>
    <cellStyle name="40% - Accent1 2" xfId="17" xr:uid="{00000000-0005-0000-0000-000006000000}"/>
    <cellStyle name="40% - Accent2" xfId="3" builtinId="35"/>
    <cellStyle name="40% - Accent2 2" xfId="18" xr:uid="{00000000-0005-0000-0000-000008000000}"/>
    <cellStyle name="40% - Accent3 2" xfId="19" xr:uid="{00000000-0005-0000-0000-000009000000}"/>
    <cellStyle name="40% - Accent4 2" xfId="20" xr:uid="{00000000-0005-0000-0000-00000A000000}"/>
    <cellStyle name="40% - Accent5 2" xfId="21" xr:uid="{00000000-0005-0000-0000-00000B000000}"/>
    <cellStyle name="40% - Accent6 2" xfId="22" xr:uid="{00000000-0005-0000-0000-00000C000000}"/>
    <cellStyle name="60% - Accent1 2" xfId="23" xr:uid="{00000000-0005-0000-0000-00000D000000}"/>
    <cellStyle name="60% - Accent2 2" xfId="24" xr:uid="{00000000-0005-0000-0000-00000E000000}"/>
    <cellStyle name="60% - Accent3 2" xfId="25" xr:uid="{00000000-0005-0000-0000-00000F000000}"/>
    <cellStyle name="60% - Accent4 2" xfId="26" xr:uid="{00000000-0005-0000-0000-000010000000}"/>
    <cellStyle name="60% - Accent5 2" xfId="27" xr:uid="{00000000-0005-0000-0000-000011000000}"/>
    <cellStyle name="60% - Accent6 2" xfId="28" xr:uid="{00000000-0005-0000-0000-000012000000}"/>
    <cellStyle name="Accent1" xfId="2" builtinId="29"/>
    <cellStyle name="Accent1 2" xfId="29" xr:uid="{00000000-0005-0000-0000-000014000000}"/>
    <cellStyle name="Accent2 2" xfId="30" xr:uid="{00000000-0005-0000-0000-000015000000}"/>
    <cellStyle name="Accent3 2" xfId="31" xr:uid="{00000000-0005-0000-0000-000016000000}"/>
    <cellStyle name="Accent4 2" xfId="32" xr:uid="{00000000-0005-0000-0000-000017000000}"/>
    <cellStyle name="Accent5 2" xfId="33" xr:uid="{00000000-0005-0000-0000-000018000000}"/>
    <cellStyle name="Accent6 2" xfId="34" xr:uid="{00000000-0005-0000-0000-000019000000}"/>
    <cellStyle name="Bad 2" xfId="35" xr:uid="{00000000-0005-0000-0000-00001A000000}"/>
    <cellStyle name="Calculation 2" xfId="36" xr:uid="{00000000-0005-0000-0000-00001B000000}"/>
    <cellStyle name="Check Cell 2" xfId="37" xr:uid="{00000000-0005-0000-0000-00001C000000}"/>
    <cellStyle name="Comma" xfId="140" builtinId="3"/>
    <cellStyle name="Comma [0] 10" xfId="9" xr:uid="{00000000-0005-0000-0000-00001E000000}"/>
    <cellStyle name="Comma [0] 11" xfId="38" xr:uid="{00000000-0005-0000-0000-00001F000000}"/>
    <cellStyle name="Comma [0] 12" xfId="7" xr:uid="{00000000-0005-0000-0000-000020000000}"/>
    <cellStyle name="Comma [0] 13" xfId="124" xr:uid="{00000000-0005-0000-0000-000021000000}"/>
    <cellStyle name="Comma [0] 2" xfId="39" xr:uid="{00000000-0005-0000-0000-000022000000}"/>
    <cellStyle name="Comma [0] 2 2" xfId="40" xr:uid="{00000000-0005-0000-0000-000023000000}"/>
    <cellStyle name="Comma [0] 2 3" xfId="41" xr:uid="{00000000-0005-0000-0000-000024000000}"/>
    <cellStyle name="Comma [0] 2 4" xfId="42" xr:uid="{00000000-0005-0000-0000-000025000000}"/>
    <cellStyle name="Comma [0] 2 5" xfId="43" xr:uid="{00000000-0005-0000-0000-000026000000}"/>
    <cellStyle name="Comma [0] 2 6" xfId="44" xr:uid="{00000000-0005-0000-0000-000027000000}"/>
    <cellStyle name="Comma [0] 2 7" xfId="45" xr:uid="{00000000-0005-0000-0000-000028000000}"/>
    <cellStyle name="Comma [0] 3" xfId="46" xr:uid="{00000000-0005-0000-0000-000029000000}"/>
    <cellStyle name="Comma [0] 3 2" xfId="47" xr:uid="{00000000-0005-0000-0000-00002A000000}"/>
    <cellStyle name="Comma [0] 4" xfId="48" xr:uid="{00000000-0005-0000-0000-00002B000000}"/>
    <cellStyle name="Comma [0] 5" xfId="49" xr:uid="{00000000-0005-0000-0000-00002C000000}"/>
    <cellStyle name="Comma [0] 5 2" xfId="50" xr:uid="{00000000-0005-0000-0000-00002D000000}"/>
    <cellStyle name="Comma [0] 6" xfId="51" xr:uid="{00000000-0005-0000-0000-00002E000000}"/>
    <cellStyle name="Comma [0] 7" xfId="52" xr:uid="{00000000-0005-0000-0000-00002F000000}"/>
    <cellStyle name="Comma [0] 8" xfId="53" xr:uid="{00000000-0005-0000-0000-000030000000}"/>
    <cellStyle name="Comma [0] 9" xfId="54" xr:uid="{00000000-0005-0000-0000-000031000000}"/>
    <cellStyle name="Comma [0] 9 2" xfId="126" xr:uid="{00000000-0005-0000-0000-000032000000}"/>
    <cellStyle name="Comma 10" xfId="55" xr:uid="{00000000-0005-0000-0000-000033000000}"/>
    <cellStyle name="Comma 11" xfId="56" xr:uid="{00000000-0005-0000-0000-000034000000}"/>
    <cellStyle name="Comma 12" xfId="57" xr:uid="{00000000-0005-0000-0000-000035000000}"/>
    <cellStyle name="Comma 13" xfId="58" xr:uid="{00000000-0005-0000-0000-000036000000}"/>
    <cellStyle name="Comma 14" xfId="59" xr:uid="{00000000-0005-0000-0000-000037000000}"/>
    <cellStyle name="Comma 15" xfId="60" xr:uid="{00000000-0005-0000-0000-000038000000}"/>
    <cellStyle name="Comma 16" xfId="61" xr:uid="{00000000-0005-0000-0000-000039000000}"/>
    <cellStyle name="Comma 17" xfId="62" xr:uid="{00000000-0005-0000-0000-00003A000000}"/>
    <cellStyle name="Comma 18" xfId="63" xr:uid="{00000000-0005-0000-0000-00003B000000}"/>
    <cellStyle name="Comma 19" xfId="64" xr:uid="{00000000-0005-0000-0000-00003C000000}"/>
    <cellStyle name="Comma 2" xfId="10" xr:uid="{00000000-0005-0000-0000-00003D000000}"/>
    <cellStyle name="Comma 2 2" xfId="65" xr:uid="{00000000-0005-0000-0000-00003E000000}"/>
    <cellStyle name="Comma 2 3" xfId="66" xr:uid="{00000000-0005-0000-0000-00003F000000}"/>
    <cellStyle name="Comma 2 4" xfId="67" xr:uid="{00000000-0005-0000-0000-000040000000}"/>
    <cellStyle name="Comma 2 5" xfId="138" xr:uid="{00000000-0005-0000-0000-000041000000}"/>
    <cellStyle name="Comma 20" xfId="68" xr:uid="{00000000-0005-0000-0000-000042000000}"/>
    <cellStyle name="Comma 21" xfId="69" xr:uid="{00000000-0005-0000-0000-000043000000}"/>
    <cellStyle name="Comma 21 2" xfId="127" xr:uid="{00000000-0005-0000-0000-000044000000}"/>
    <cellStyle name="Comma 22" xfId="70" xr:uid="{00000000-0005-0000-0000-000045000000}"/>
    <cellStyle name="Comma 22 2" xfId="128" xr:uid="{00000000-0005-0000-0000-000046000000}"/>
    <cellStyle name="Comma 23" xfId="6" xr:uid="{00000000-0005-0000-0000-000047000000}"/>
    <cellStyle name="Comma 24" xfId="109" xr:uid="{00000000-0005-0000-0000-000048000000}"/>
    <cellStyle name="Comma 25" xfId="115" xr:uid="{00000000-0005-0000-0000-000049000000}"/>
    <cellStyle name="Comma 26" xfId="110" xr:uid="{00000000-0005-0000-0000-00004A000000}"/>
    <cellStyle name="Comma 27" xfId="114" xr:uid="{00000000-0005-0000-0000-00004B000000}"/>
    <cellStyle name="Comma 28" xfId="117" xr:uid="{00000000-0005-0000-0000-00004C000000}"/>
    <cellStyle name="Comma 29" xfId="112" xr:uid="{00000000-0005-0000-0000-00004D000000}"/>
    <cellStyle name="Comma 3" xfId="71" xr:uid="{00000000-0005-0000-0000-00004E000000}"/>
    <cellStyle name="Comma 3 2" xfId="72" xr:uid="{00000000-0005-0000-0000-00004F000000}"/>
    <cellStyle name="Comma 30" xfId="116" xr:uid="{00000000-0005-0000-0000-000050000000}"/>
    <cellStyle name="Comma 31" xfId="118" xr:uid="{00000000-0005-0000-0000-000051000000}"/>
    <cellStyle name="Comma 32" xfId="113" xr:uid="{00000000-0005-0000-0000-000052000000}"/>
    <cellStyle name="Comma 33" xfId="111" xr:uid="{00000000-0005-0000-0000-000053000000}"/>
    <cellStyle name="Comma 34" xfId="119" xr:uid="{00000000-0005-0000-0000-000054000000}"/>
    <cellStyle name="Comma 35" xfId="120" xr:uid="{00000000-0005-0000-0000-000055000000}"/>
    <cellStyle name="Comma 36" xfId="121" xr:uid="{00000000-0005-0000-0000-000056000000}"/>
    <cellStyle name="Comma 37" xfId="123" xr:uid="{00000000-0005-0000-0000-000057000000}"/>
    <cellStyle name="Comma 38" xfId="134" xr:uid="{00000000-0005-0000-0000-000058000000}"/>
    <cellStyle name="Comma 39" xfId="136" xr:uid="{00000000-0005-0000-0000-000059000000}"/>
    <cellStyle name="Comma 4" xfId="73" xr:uid="{00000000-0005-0000-0000-00005A000000}"/>
    <cellStyle name="Comma 40" xfId="137" xr:uid="{00000000-0005-0000-0000-00005B000000}"/>
    <cellStyle name="Comma 41" xfId="135" xr:uid="{00000000-0005-0000-0000-00005C000000}"/>
    <cellStyle name="Comma 42" xfId="130" xr:uid="{00000000-0005-0000-0000-00005D000000}"/>
    <cellStyle name="Comma 5" xfId="74" xr:uid="{00000000-0005-0000-0000-00005E000000}"/>
    <cellStyle name="Comma 6" xfId="75" xr:uid="{00000000-0005-0000-0000-00005F000000}"/>
    <cellStyle name="Comma 7" xfId="76" xr:uid="{00000000-0005-0000-0000-000060000000}"/>
    <cellStyle name="Comma 8" xfId="77" xr:uid="{00000000-0005-0000-0000-000061000000}"/>
    <cellStyle name="Comma 9" xfId="78" xr:uid="{00000000-0005-0000-0000-000062000000}"/>
    <cellStyle name="Currency 2" xfId="79" xr:uid="{00000000-0005-0000-0000-000063000000}"/>
    <cellStyle name="Currency 3" xfId="80" xr:uid="{00000000-0005-0000-0000-000064000000}"/>
    <cellStyle name="Currency 4" xfId="81" xr:uid="{00000000-0005-0000-0000-000065000000}"/>
    <cellStyle name="Currency 5" xfId="82" xr:uid="{00000000-0005-0000-0000-000066000000}"/>
    <cellStyle name="Explanatory Text 2" xfId="83" xr:uid="{00000000-0005-0000-0000-000067000000}"/>
    <cellStyle name="Good 2" xfId="84" xr:uid="{00000000-0005-0000-0000-000068000000}"/>
    <cellStyle name="Heading 1 2" xfId="85" xr:uid="{00000000-0005-0000-0000-000069000000}"/>
    <cellStyle name="Heading 2 2" xfId="86" xr:uid="{00000000-0005-0000-0000-00006A000000}"/>
    <cellStyle name="Heading 3 2" xfId="87" xr:uid="{00000000-0005-0000-0000-00006B000000}"/>
    <cellStyle name="Heading 4 2" xfId="88" xr:uid="{00000000-0005-0000-0000-00006C000000}"/>
    <cellStyle name="Input 2" xfId="89" xr:uid="{00000000-0005-0000-0000-00006D000000}"/>
    <cellStyle name="Linked Cell 2" xfId="90" xr:uid="{00000000-0005-0000-0000-00006E000000}"/>
    <cellStyle name="Neutral 2" xfId="91" xr:uid="{00000000-0005-0000-0000-00006F000000}"/>
    <cellStyle name="Normal" xfId="0" builtinId="0"/>
    <cellStyle name="Normal 10" xfId="92" xr:uid="{00000000-0005-0000-0000-000071000000}"/>
    <cellStyle name="Normal 10 2" xfId="129" xr:uid="{00000000-0005-0000-0000-000072000000}"/>
    <cellStyle name="Normal 11" xfId="5" xr:uid="{00000000-0005-0000-0000-000073000000}"/>
    <cellStyle name="Normal 12" xfId="122" xr:uid="{00000000-0005-0000-0000-000074000000}"/>
    <cellStyle name="Normal 2" xfId="1" xr:uid="{00000000-0005-0000-0000-000075000000}"/>
    <cellStyle name="Normal 2 2" xfId="94" xr:uid="{00000000-0005-0000-0000-000076000000}"/>
    <cellStyle name="Normal 2 3" xfId="95" xr:uid="{00000000-0005-0000-0000-000077000000}"/>
    <cellStyle name="Normal 2 4" xfId="93" xr:uid="{00000000-0005-0000-0000-000078000000}"/>
    <cellStyle name="Normal 2 5" xfId="139" xr:uid="{00000000-0005-0000-0000-000079000000}"/>
    <cellStyle name="Normal 3" xfId="4" xr:uid="{00000000-0005-0000-0000-00007A000000}"/>
    <cellStyle name="Normal 3 2" xfId="96" xr:uid="{00000000-0005-0000-0000-00007B000000}"/>
    <cellStyle name="Normal 3 3" xfId="97" xr:uid="{00000000-0005-0000-0000-00007C000000}"/>
    <cellStyle name="Normal 3 3 2" xfId="131" xr:uid="{00000000-0005-0000-0000-00007D000000}"/>
    <cellStyle name="Normal 3 4" xfId="8" xr:uid="{00000000-0005-0000-0000-00007E000000}"/>
    <cellStyle name="Normal 3 5" xfId="125" xr:uid="{00000000-0005-0000-0000-00007F000000}"/>
    <cellStyle name="Normal 4" xfId="98" xr:uid="{00000000-0005-0000-0000-000080000000}"/>
    <cellStyle name="Normal 5" xfId="99" xr:uid="{00000000-0005-0000-0000-000081000000}"/>
    <cellStyle name="Normal 6" xfId="100" xr:uid="{00000000-0005-0000-0000-000082000000}"/>
    <cellStyle name="Normal 6 2" xfId="132" xr:uid="{00000000-0005-0000-0000-000083000000}"/>
    <cellStyle name="Normal 7" xfId="101" xr:uid="{00000000-0005-0000-0000-000084000000}"/>
    <cellStyle name="Normal 8" xfId="102" xr:uid="{00000000-0005-0000-0000-000085000000}"/>
    <cellStyle name="Normal 9" xfId="103" xr:uid="{00000000-0005-0000-0000-000086000000}"/>
    <cellStyle name="Normal 9 2" xfId="133" xr:uid="{00000000-0005-0000-0000-000087000000}"/>
    <cellStyle name="Note 2" xfId="104" xr:uid="{00000000-0005-0000-0000-000089000000}"/>
    <cellStyle name="Output 2" xfId="105" xr:uid="{00000000-0005-0000-0000-00008A000000}"/>
    <cellStyle name="Title 2" xfId="106" xr:uid="{00000000-0005-0000-0000-00008B000000}"/>
    <cellStyle name="Total 2" xfId="107" xr:uid="{00000000-0005-0000-0000-00008C000000}"/>
    <cellStyle name="Warning Text 2" xfId="108" xr:uid="{00000000-0005-0000-0000-00008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7"/>
  <sheetViews>
    <sheetView tabSelected="1" zoomScaleNormal="100" workbookViewId="0">
      <selection activeCell="O30" sqref="O30"/>
    </sheetView>
  </sheetViews>
  <sheetFormatPr defaultRowHeight="12"/>
  <cols>
    <col min="1" max="1" width="4" bestFit="1" customWidth="1"/>
    <col min="2" max="2" width="10.5703125" bestFit="1" customWidth="1"/>
    <col min="3" max="3" width="7.5703125" bestFit="1" customWidth="1"/>
    <col min="4" max="4" width="9.140625" bestFit="1" customWidth="1"/>
    <col min="5" max="5" width="10.42578125" bestFit="1" customWidth="1"/>
    <col min="6" max="6" width="8.5703125" bestFit="1" customWidth="1"/>
    <col min="7" max="7" width="10.140625" hidden="1" customWidth="1"/>
    <col min="8" max="8" width="5.5703125" hidden="1" customWidth="1"/>
    <col min="9" max="9" width="7.7109375" bestFit="1" customWidth="1"/>
    <col min="10" max="10" width="7.5703125" hidden="1" customWidth="1"/>
    <col min="11" max="13" width="5.140625" hidden="1" customWidth="1"/>
    <col min="14" max="14" width="6.140625" hidden="1" customWidth="1"/>
    <col min="15" max="15" width="73.85546875" bestFit="1" customWidth="1"/>
    <col min="16" max="16" width="15.5703125" style="56" bestFit="1" customWidth="1"/>
    <col min="17" max="17" width="14.5703125" style="56" bestFit="1" customWidth="1"/>
    <col min="18" max="18" width="12.42578125" style="56" bestFit="1" customWidth="1"/>
    <col min="19" max="19" width="4.7109375" hidden="1" customWidth="1"/>
    <col min="20" max="20" width="6.85546875" customWidth="1"/>
    <col min="21" max="21" width="4.5703125" customWidth="1"/>
    <col min="22" max="22" width="8.85546875" hidden="1" customWidth="1"/>
    <col min="23" max="23" width="8.42578125" hidden="1" customWidth="1"/>
    <col min="24" max="24" width="7.5703125" bestFit="1" customWidth="1"/>
    <col min="25" max="25" width="7.5703125" hidden="1" customWidth="1"/>
    <col min="26" max="26" width="6.42578125" hidden="1" customWidth="1"/>
    <col min="27" max="27" width="8.5703125" hidden="1" customWidth="1"/>
    <col min="28" max="29" width="6.140625" hidden="1" customWidth="1"/>
    <col min="30" max="30" width="7.7109375" hidden="1" customWidth="1"/>
    <col min="31" max="31" width="7.5703125" hidden="1" customWidth="1"/>
    <col min="32" max="33" width="6.140625" hidden="1" customWidth="1"/>
    <col min="34" max="34" width="7.140625" hidden="1" customWidth="1"/>
    <col min="35" max="35" width="8.140625" hidden="1" customWidth="1"/>
    <col min="36" max="36" width="10.140625" hidden="1" customWidth="1"/>
    <col min="37" max="37" width="8.42578125" hidden="1" customWidth="1"/>
    <col min="38" max="38" width="10.85546875" bestFit="1" customWidth="1"/>
    <col min="39" max="39" width="8.5703125" hidden="1" customWidth="1"/>
    <col min="40" max="40" width="10.42578125" bestFit="1" customWidth="1"/>
    <col min="41" max="41" width="3.85546875" hidden="1" customWidth="1"/>
    <col min="42" max="43" width="7" hidden="1" customWidth="1"/>
    <col min="44" max="44" width="8.140625" hidden="1" customWidth="1"/>
    <col min="45" max="45" width="7.5703125" hidden="1" customWidth="1"/>
    <col min="46" max="46" width="8" hidden="1" customWidth="1"/>
    <col min="47" max="47" width="9.140625" bestFit="1" customWidth="1"/>
    <col min="48" max="48" width="18.85546875" bestFit="1" customWidth="1"/>
    <col min="49" max="49" width="8.5703125" customWidth="1"/>
    <col min="50" max="50" width="8.140625" customWidth="1"/>
    <col min="51" max="51" width="18.5703125" customWidth="1"/>
    <col min="52" max="52" width="26.140625" customWidth="1"/>
    <col min="53" max="55" width="1.85546875" customWidth="1"/>
    <col min="56" max="57" width="9.140625" customWidth="1"/>
    <col min="58" max="59" width="7" bestFit="1" customWidth="1"/>
  </cols>
  <sheetData>
    <row r="1" spans="1:59" ht="16.5" customHeight="1">
      <c r="A1" s="13"/>
      <c r="B1" s="14"/>
      <c r="C1" s="15"/>
      <c r="D1" s="15"/>
      <c r="E1" s="16" t="s">
        <v>83</v>
      </c>
      <c r="F1" s="16" t="s">
        <v>24</v>
      </c>
      <c r="G1" s="16" t="s">
        <v>25</v>
      </c>
      <c r="H1" s="16" t="s">
        <v>84</v>
      </c>
      <c r="I1" s="16" t="s">
        <v>85</v>
      </c>
      <c r="J1" s="16" t="s">
        <v>86</v>
      </c>
      <c r="K1" s="17"/>
      <c r="L1" s="17"/>
      <c r="M1" s="17"/>
      <c r="N1" s="17"/>
      <c r="O1" s="18"/>
      <c r="P1" s="50"/>
      <c r="Q1" s="51"/>
      <c r="R1" s="51"/>
      <c r="S1" s="19"/>
      <c r="T1" s="18"/>
      <c r="U1" s="20" t="s">
        <v>94</v>
      </c>
      <c r="V1" s="21" t="s">
        <v>95</v>
      </c>
      <c r="W1" s="21" t="s">
        <v>96</v>
      </c>
      <c r="X1" s="22"/>
      <c r="Y1" s="22"/>
      <c r="Z1" s="23" t="s">
        <v>83</v>
      </c>
      <c r="AA1" s="23" t="s">
        <v>24</v>
      </c>
      <c r="AB1" s="23" t="s">
        <v>25</v>
      </c>
      <c r="AC1" s="23" t="s">
        <v>84</v>
      </c>
      <c r="AD1" s="23" t="s">
        <v>85</v>
      </c>
      <c r="AE1" s="23" t="s">
        <v>86</v>
      </c>
      <c r="AF1" s="24"/>
      <c r="AG1" s="24"/>
      <c r="AH1" s="24"/>
      <c r="AI1" s="24"/>
      <c r="AJ1" s="14"/>
      <c r="AK1" s="18"/>
      <c r="AL1" s="18"/>
      <c r="AM1" s="18"/>
      <c r="AN1" s="14"/>
      <c r="AO1" s="25"/>
      <c r="AP1" s="26"/>
      <c r="AQ1" s="26"/>
      <c r="AR1" s="26"/>
      <c r="AS1" s="27"/>
      <c r="AT1" s="28" t="s">
        <v>97</v>
      </c>
      <c r="AU1" s="29"/>
      <c r="AV1" s="29"/>
      <c r="AW1" s="30"/>
      <c r="AX1" s="29"/>
      <c r="AY1" s="31"/>
      <c r="AZ1" s="29"/>
      <c r="BA1" s="7"/>
      <c r="BB1" s="7"/>
      <c r="BC1" s="7"/>
      <c r="BD1" s="8"/>
      <c r="BE1" s="9"/>
    </row>
    <row r="2" spans="1:59" ht="20.25" customHeight="1">
      <c r="A2" s="32" t="s">
        <v>98</v>
      </c>
      <c r="B2" s="33" t="s">
        <v>0</v>
      </c>
      <c r="C2" s="34" t="s">
        <v>1</v>
      </c>
      <c r="D2" s="34" t="s">
        <v>2</v>
      </c>
      <c r="E2" s="34" t="s">
        <v>99</v>
      </c>
      <c r="F2" s="34" t="s">
        <v>100</v>
      </c>
      <c r="G2" s="34" t="s">
        <v>101</v>
      </c>
      <c r="H2" s="34" t="s">
        <v>102</v>
      </c>
      <c r="I2" s="34" t="s">
        <v>103</v>
      </c>
      <c r="J2" s="34" t="s">
        <v>104</v>
      </c>
      <c r="K2" s="34" t="s">
        <v>6</v>
      </c>
      <c r="L2" s="34" t="s">
        <v>7</v>
      </c>
      <c r="M2" s="34" t="s">
        <v>8</v>
      </c>
      <c r="N2" s="34" t="s">
        <v>9</v>
      </c>
      <c r="O2" s="34" t="s">
        <v>105</v>
      </c>
      <c r="P2" s="52" t="s">
        <v>3</v>
      </c>
      <c r="Q2" s="52" t="s">
        <v>4</v>
      </c>
      <c r="R2" s="52" t="s">
        <v>5</v>
      </c>
      <c r="S2" s="35" t="s">
        <v>15</v>
      </c>
      <c r="T2" s="34" t="s">
        <v>10</v>
      </c>
      <c r="U2" s="36" t="s">
        <v>106</v>
      </c>
      <c r="V2" s="36" t="s">
        <v>53</v>
      </c>
      <c r="W2" s="36" t="s">
        <v>107</v>
      </c>
      <c r="X2" s="37" t="s">
        <v>108</v>
      </c>
      <c r="Y2" s="37" t="s">
        <v>11</v>
      </c>
      <c r="Z2" s="37" t="s">
        <v>109</v>
      </c>
      <c r="AA2" s="37" t="s">
        <v>110</v>
      </c>
      <c r="AB2" s="37" t="s">
        <v>111</v>
      </c>
      <c r="AC2" s="37" t="s">
        <v>112</v>
      </c>
      <c r="AD2" s="37" t="s">
        <v>113</v>
      </c>
      <c r="AE2" s="37" t="s">
        <v>114</v>
      </c>
      <c r="AF2" s="37" t="s">
        <v>73</v>
      </c>
      <c r="AG2" s="37" t="s">
        <v>74</v>
      </c>
      <c r="AH2" s="37" t="s">
        <v>75</v>
      </c>
      <c r="AI2" s="37" t="s">
        <v>76</v>
      </c>
      <c r="AJ2" s="38" t="s">
        <v>115</v>
      </c>
      <c r="AK2" s="39" t="s">
        <v>116</v>
      </c>
      <c r="AL2" s="39" t="s">
        <v>12</v>
      </c>
      <c r="AM2" s="39" t="s">
        <v>13</v>
      </c>
      <c r="AN2" s="38" t="s">
        <v>117</v>
      </c>
      <c r="AO2" s="40" t="s">
        <v>14</v>
      </c>
      <c r="AP2" s="41" t="s">
        <v>17</v>
      </c>
      <c r="AQ2" s="41" t="s">
        <v>16</v>
      </c>
      <c r="AR2" s="41" t="s">
        <v>18</v>
      </c>
      <c r="AS2" s="42" t="s">
        <v>19</v>
      </c>
      <c r="AT2" s="36" t="s">
        <v>118</v>
      </c>
      <c r="AU2" s="36" t="s">
        <v>87</v>
      </c>
      <c r="AV2" s="36" t="s">
        <v>88</v>
      </c>
      <c r="AW2" s="43" t="s">
        <v>89</v>
      </c>
      <c r="AX2" s="36" t="s">
        <v>90</v>
      </c>
      <c r="AY2" s="36" t="s">
        <v>77</v>
      </c>
      <c r="AZ2" s="36" t="s">
        <v>91</v>
      </c>
      <c r="BA2" s="10" t="s">
        <v>78</v>
      </c>
      <c r="BB2" s="10" t="s">
        <v>79</v>
      </c>
      <c r="BC2" s="10" t="s">
        <v>80</v>
      </c>
      <c r="BD2" s="11" t="s">
        <v>92</v>
      </c>
      <c r="BE2" s="11" t="s">
        <v>93</v>
      </c>
      <c r="BF2" s="12" t="s">
        <v>81</v>
      </c>
      <c r="BG2" s="12" t="s">
        <v>82</v>
      </c>
    </row>
    <row r="3" spans="1:59" ht="12.75">
      <c r="A3" s="58">
        <v>1</v>
      </c>
      <c r="B3" s="47">
        <v>46265</v>
      </c>
      <c r="C3" s="44" t="s">
        <v>121</v>
      </c>
      <c r="D3" s="49" t="s">
        <v>125</v>
      </c>
      <c r="E3" s="48" t="s">
        <v>126</v>
      </c>
      <c r="F3" s="46" t="s">
        <v>122</v>
      </c>
      <c r="G3" s="48"/>
      <c r="H3" s="48"/>
      <c r="I3" s="49"/>
      <c r="J3" s="48"/>
      <c r="K3" s="48"/>
      <c r="L3" s="48"/>
      <c r="M3" s="48"/>
      <c r="N3" s="48"/>
      <c r="O3" s="44" t="s">
        <v>129</v>
      </c>
      <c r="P3" s="53">
        <v>224800</v>
      </c>
      <c r="Q3" s="54"/>
      <c r="R3" s="55" t="s">
        <v>37</v>
      </c>
      <c r="S3" s="48"/>
      <c r="T3" s="45"/>
      <c r="U3" s="48"/>
      <c r="V3" s="48"/>
      <c r="W3" s="48"/>
      <c r="X3" s="45" t="s">
        <v>23</v>
      </c>
    </row>
    <row r="4" spans="1:59" ht="12.75">
      <c r="A4" s="58">
        <v>1</v>
      </c>
      <c r="B4" s="47">
        <v>46265</v>
      </c>
      <c r="C4" s="44" t="s">
        <v>121</v>
      </c>
      <c r="D4" s="49" t="s">
        <v>127</v>
      </c>
      <c r="E4" s="48" t="s">
        <v>126</v>
      </c>
      <c r="F4" s="46" t="s">
        <v>122</v>
      </c>
      <c r="G4" s="48"/>
      <c r="H4" s="48"/>
      <c r="I4" s="49"/>
      <c r="J4" s="48"/>
      <c r="K4" s="48"/>
      <c r="L4" s="48"/>
      <c r="M4" s="48"/>
      <c r="N4" s="48"/>
      <c r="O4" s="44" t="s">
        <v>130</v>
      </c>
      <c r="P4" s="53">
        <v>1762500</v>
      </c>
      <c r="Q4" s="54"/>
      <c r="R4" s="55" t="s">
        <v>37</v>
      </c>
      <c r="S4" s="48"/>
      <c r="T4" s="45"/>
      <c r="U4" s="48"/>
      <c r="V4" s="48"/>
      <c r="W4" s="48"/>
      <c r="X4" s="45" t="s">
        <v>23</v>
      </c>
    </row>
    <row r="5" spans="1:59" ht="12.75">
      <c r="A5" s="58">
        <v>1</v>
      </c>
      <c r="B5" s="47">
        <v>46265</v>
      </c>
      <c r="C5" s="44" t="s">
        <v>121</v>
      </c>
      <c r="D5" s="49" t="s">
        <v>119</v>
      </c>
      <c r="E5" s="48"/>
      <c r="F5" s="46"/>
      <c r="G5" s="48"/>
      <c r="H5" s="48"/>
      <c r="I5" s="49"/>
      <c r="J5" s="48"/>
      <c r="K5" s="48"/>
      <c r="L5" s="48"/>
      <c r="M5" s="48"/>
      <c r="N5" s="48"/>
      <c r="O5" s="57" t="s">
        <v>131</v>
      </c>
      <c r="P5" s="53">
        <v>218603</v>
      </c>
      <c r="Q5" s="54"/>
      <c r="R5" s="55" t="s">
        <v>37</v>
      </c>
      <c r="S5" s="48"/>
      <c r="T5" s="45"/>
      <c r="U5" s="48" t="s">
        <v>123</v>
      </c>
      <c r="V5" s="48"/>
      <c r="W5" s="48"/>
      <c r="X5" s="45" t="s">
        <v>23</v>
      </c>
      <c r="AN5" s="47"/>
    </row>
    <row r="6" spans="1:59" ht="12.75">
      <c r="A6" s="58">
        <v>1</v>
      </c>
      <c r="B6" s="47">
        <v>46265</v>
      </c>
      <c r="C6" s="44" t="s">
        <v>121</v>
      </c>
      <c r="D6" s="49" t="s">
        <v>128</v>
      </c>
      <c r="E6" s="48"/>
      <c r="F6" s="46"/>
      <c r="G6" s="48"/>
      <c r="H6" s="48"/>
      <c r="I6" s="49"/>
      <c r="J6" s="48"/>
      <c r="K6" s="48"/>
      <c r="L6" s="48"/>
      <c r="M6" s="48"/>
      <c r="N6" s="48"/>
      <c r="O6" s="44" t="s">
        <v>132</v>
      </c>
      <c r="P6" s="53"/>
      <c r="Q6" s="54">
        <f>ROUND(((P3+P4)*2%),0)</f>
        <v>39746</v>
      </c>
      <c r="R6" s="55" t="s">
        <v>37</v>
      </c>
      <c r="S6" s="48"/>
      <c r="T6" s="45"/>
      <c r="U6" s="48"/>
      <c r="V6" s="48"/>
      <c r="W6" s="48"/>
      <c r="X6" s="45" t="s">
        <v>23</v>
      </c>
    </row>
    <row r="7" spans="1:59" ht="12.75">
      <c r="A7" s="58">
        <v>1</v>
      </c>
      <c r="B7" s="47">
        <v>46265</v>
      </c>
      <c r="C7" s="44" t="s">
        <v>85</v>
      </c>
      <c r="D7" s="49" t="s">
        <v>124</v>
      </c>
      <c r="E7" s="48"/>
      <c r="F7" s="46"/>
      <c r="G7" s="48"/>
      <c r="H7" s="48"/>
      <c r="I7" s="49" t="s">
        <v>124</v>
      </c>
      <c r="J7" s="48"/>
      <c r="K7" s="48"/>
      <c r="L7" s="48"/>
      <c r="M7" s="48"/>
      <c r="N7" s="48"/>
      <c r="O7" s="44" t="s">
        <v>133</v>
      </c>
      <c r="P7" s="53"/>
      <c r="Q7" s="54">
        <f>SUM(P3:P5)-Q6</f>
        <v>2166157</v>
      </c>
      <c r="R7" s="55" t="s">
        <v>37</v>
      </c>
      <c r="S7" s="48"/>
      <c r="T7" s="45" t="s">
        <v>120</v>
      </c>
      <c r="U7" s="48"/>
      <c r="V7" s="48"/>
      <c r="W7" s="48"/>
      <c r="X7" s="45" t="s">
        <v>23</v>
      </c>
      <c r="AL7" s="48" t="s">
        <v>134</v>
      </c>
      <c r="AM7" s="48"/>
      <c r="AN7" s="47">
        <v>46265</v>
      </c>
      <c r="AO7" s="48"/>
      <c r="AP7" s="48"/>
      <c r="AQ7" s="48"/>
      <c r="AR7" s="48"/>
      <c r="AS7" s="48"/>
      <c r="AT7" s="48"/>
      <c r="AU7" s="48"/>
      <c r="AV7" s="49" t="s">
        <v>135</v>
      </c>
    </row>
    <row r="8" spans="1:59" ht="12.75">
      <c r="A8" s="58">
        <v>1</v>
      </c>
      <c r="B8" s="47">
        <v>46265</v>
      </c>
      <c r="C8" s="44" t="s">
        <v>121</v>
      </c>
      <c r="D8" s="49" t="s">
        <v>125</v>
      </c>
      <c r="E8" s="48" t="s">
        <v>126</v>
      </c>
      <c r="F8" s="46" t="s">
        <v>122</v>
      </c>
      <c r="G8" s="48"/>
      <c r="H8" s="48"/>
      <c r="I8" s="49"/>
      <c r="J8" s="48"/>
      <c r="K8" s="48"/>
      <c r="L8" s="48"/>
      <c r="M8" s="48"/>
      <c r="N8" s="48"/>
      <c r="O8" s="44" t="s">
        <v>136</v>
      </c>
      <c r="P8" s="53">
        <v>276800</v>
      </c>
      <c r="Q8" s="54"/>
      <c r="R8" s="55" t="s">
        <v>37</v>
      </c>
      <c r="S8" s="48"/>
      <c r="T8" s="45"/>
      <c r="U8" s="48"/>
      <c r="V8" s="48"/>
      <c r="W8" s="48"/>
      <c r="X8" s="45" t="s">
        <v>23</v>
      </c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</row>
    <row r="9" spans="1:59" ht="12.75">
      <c r="A9" s="58">
        <v>1</v>
      </c>
      <c r="B9" s="47">
        <v>46265</v>
      </c>
      <c r="C9" s="44" t="s">
        <v>121</v>
      </c>
      <c r="D9" s="49" t="s">
        <v>127</v>
      </c>
      <c r="E9" s="48" t="s">
        <v>126</v>
      </c>
      <c r="F9" s="46" t="s">
        <v>122</v>
      </c>
      <c r="G9" s="48"/>
      <c r="H9" s="48"/>
      <c r="I9" s="49"/>
      <c r="J9" s="48"/>
      <c r="K9" s="48"/>
      <c r="L9" s="48"/>
      <c r="M9" s="48"/>
      <c r="N9" s="48"/>
      <c r="O9" s="44" t="s">
        <v>137</v>
      </c>
      <c r="P9" s="53">
        <v>1900500</v>
      </c>
      <c r="Q9" s="54"/>
      <c r="R9" s="55" t="s">
        <v>37</v>
      </c>
      <c r="S9" s="48"/>
      <c r="T9" s="45"/>
      <c r="U9" s="48"/>
      <c r="V9" s="48"/>
      <c r="W9" s="48"/>
      <c r="X9" s="45" t="s">
        <v>23</v>
      </c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</row>
    <row r="10" spans="1:59" ht="12.75">
      <c r="A10" s="58">
        <v>1</v>
      </c>
      <c r="B10" s="47">
        <v>46265</v>
      </c>
      <c r="C10" s="44" t="s">
        <v>121</v>
      </c>
      <c r="D10" s="49" t="s">
        <v>119</v>
      </c>
      <c r="E10" s="48"/>
      <c r="F10" s="46"/>
      <c r="G10" s="48"/>
      <c r="H10" s="48"/>
      <c r="I10" s="49"/>
      <c r="J10" s="48"/>
      <c r="K10" s="48"/>
      <c r="L10" s="48"/>
      <c r="M10" s="48"/>
      <c r="N10" s="48"/>
      <c r="O10" s="57" t="s">
        <v>138</v>
      </c>
      <c r="P10" s="53">
        <v>239503</v>
      </c>
      <c r="Q10" s="54"/>
      <c r="R10" s="55" t="s">
        <v>37</v>
      </c>
      <c r="S10" s="48"/>
      <c r="T10" s="45"/>
      <c r="U10" s="48" t="s">
        <v>123</v>
      </c>
      <c r="V10" s="48"/>
      <c r="W10" s="48"/>
      <c r="X10" s="45" t="s">
        <v>23</v>
      </c>
      <c r="AL10" s="48"/>
      <c r="AM10" s="48"/>
      <c r="AN10" s="47"/>
      <c r="AO10" s="48"/>
      <c r="AP10" s="48"/>
      <c r="AQ10" s="48"/>
      <c r="AR10" s="48"/>
      <c r="AS10" s="48"/>
      <c r="AT10" s="48"/>
      <c r="AU10" s="48"/>
      <c r="AV10" s="48"/>
    </row>
    <row r="11" spans="1:59" ht="12.75">
      <c r="A11" s="58">
        <v>1</v>
      </c>
      <c r="B11" s="47">
        <v>46265</v>
      </c>
      <c r="C11" s="44" t="s">
        <v>121</v>
      </c>
      <c r="D11" s="49" t="s">
        <v>128</v>
      </c>
      <c r="E11" s="48"/>
      <c r="F11" s="46"/>
      <c r="G11" s="48"/>
      <c r="H11" s="48"/>
      <c r="I11" s="49"/>
      <c r="J11" s="48"/>
      <c r="K11" s="48"/>
      <c r="L11" s="48"/>
      <c r="M11" s="48"/>
      <c r="N11" s="48"/>
      <c r="O11" s="44" t="s">
        <v>139</v>
      </c>
      <c r="P11" s="53"/>
      <c r="Q11" s="54">
        <v>43546</v>
      </c>
      <c r="R11" s="55" t="s">
        <v>37</v>
      </c>
      <c r="S11" s="48"/>
      <c r="T11" s="45"/>
      <c r="U11" s="48"/>
      <c r="V11" s="48"/>
      <c r="W11" s="48"/>
      <c r="X11" s="45" t="s">
        <v>23</v>
      </c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</row>
    <row r="12" spans="1:59" ht="12.75">
      <c r="A12" s="58">
        <v>1</v>
      </c>
      <c r="B12" s="47">
        <v>46265</v>
      </c>
      <c r="C12" s="44" t="s">
        <v>85</v>
      </c>
      <c r="D12" s="49" t="s">
        <v>124</v>
      </c>
      <c r="E12" s="48"/>
      <c r="F12" s="46"/>
      <c r="G12" s="48"/>
      <c r="H12" s="48"/>
      <c r="I12" s="49" t="s">
        <v>124</v>
      </c>
      <c r="J12" s="48"/>
      <c r="K12" s="48"/>
      <c r="L12" s="48"/>
      <c r="M12" s="48"/>
      <c r="N12" s="48"/>
      <c r="O12" s="44" t="s">
        <v>140</v>
      </c>
      <c r="P12" s="53"/>
      <c r="Q12" s="54">
        <f>SUM(P8:P10)-Q11</f>
        <v>2373257</v>
      </c>
      <c r="R12" s="55" t="s">
        <v>37</v>
      </c>
      <c r="S12" s="48"/>
      <c r="T12" s="45" t="s">
        <v>120</v>
      </c>
      <c r="U12" s="48"/>
      <c r="V12" s="48"/>
      <c r="W12" s="48"/>
      <c r="X12" s="45" t="s">
        <v>23</v>
      </c>
      <c r="AL12" s="48" t="s">
        <v>141</v>
      </c>
      <c r="AM12" s="48"/>
      <c r="AN12" s="47">
        <v>46265</v>
      </c>
      <c r="AO12" s="48"/>
      <c r="AP12" s="48"/>
      <c r="AQ12" s="48"/>
      <c r="AR12" s="48"/>
      <c r="AS12" s="48"/>
      <c r="AT12" s="48"/>
      <c r="AU12" s="48"/>
      <c r="AV12" s="49" t="s">
        <v>142</v>
      </c>
    </row>
    <row r="13" spans="1:59" ht="12.75">
      <c r="A13" s="58">
        <v>1</v>
      </c>
      <c r="B13" s="47">
        <v>46265</v>
      </c>
      <c r="C13" s="44" t="s">
        <v>121</v>
      </c>
      <c r="D13" s="49" t="s">
        <v>125</v>
      </c>
      <c r="E13" s="48" t="s">
        <v>126</v>
      </c>
      <c r="F13" s="46" t="s">
        <v>122</v>
      </c>
      <c r="G13" s="48"/>
      <c r="H13" s="48"/>
      <c r="I13" s="49"/>
      <c r="J13" s="48"/>
      <c r="K13" s="48"/>
      <c r="L13" s="48"/>
      <c r="M13" s="48"/>
      <c r="N13" s="48"/>
      <c r="O13" s="44" t="s">
        <v>143</v>
      </c>
      <c r="P13" s="53">
        <v>240000</v>
      </c>
      <c r="Q13" s="54"/>
      <c r="R13" s="55" t="s">
        <v>37</v>
      </c>
      <c r="S13" s="48"/>
      <c r="T13" s="45"/>
      <c r="U13" s="48"/>
      <c r="V13" s="48"/>
      <c r="W13" s="48"/>
      <c r="X13" s="45" t="s">
        <v>23</v>
      </c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</row>
    <row r="14" spans="1:59" ht="12.75">
      <c r="A14" s="58">
        <v>1</v>
      </c>
      <c r="B14" s="47">
        <v>46265</v>
      </c>
      <c r="C14" s="44" t="s">
        <v>121</v>
      </c>
      <c r="D14" s="49" t="s">
        <v>127</v>
      </c>
      <c r="E14" s="48" t="s">
        <v>126</v>
      </c>
      <c r="F14" s="46" t="s">
        <v>122</v>
      </c>
      <c r="G14" s="48"/>
      <c r="H14" s="48"/>
      <c r="I14" s="49"/>
      <c r="J14" s="48"/>
      <c r="K14" s="48"/>
      <c r="L14" s="48"/>
      <c r="M14" s="48"/>
      <c r="N14" s="48"/>
      <c r="O14" s="44" t="s">
        <v>144</v>
      </c>
      <c r="P14" s="53">
        <v>1762500</v>
      </c>
      <c r="Q14" s="54"/>
      <c r="R14" s="55" t="s">
        <v>37</v>
      </c>
      <c r="S14" s="48"/>
      <c r="T14" s="45"/>
      <c r="U14" s="48"/>
      <c r="V14" s="48"/>
      <c r="W14" s="48"/>
      <c r="X14" s="45" t="s">
        <v>23</v>
      </c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</row>
    <row r="15" spans="1:59" ht="12.75">
      <c r="A15" s="58">
        <v>1</v>
      </c>
      <c r="B15" s="47">
        <v>46265</v>
      </c>
      <c r="C15" s="44" t="s">
        <v>121</v>
      </c>
      <c r="D15" s="49" t="s">
        <v>119</v>
      </c>
      <c r="E15" s="48"/>
      <c r="F15" s="46"/>
      <c r="G15" s="48"/>
      <c r="H15" s="48"/>
      <c r="I15" s="49"/>
      <c r="J15" s="48"/>
      <c r="K15" s="48"/>
      <c r="L15" s="48"/>
      <c r="M15" s="48"/>
      <c r="N15" s="48"/>
      <c r="O15" s="57" t="s">
        <v>145</v>
      </c>
      <c r="P15" s="53">
        <v>220275</v>
      </c>
      <c r="Q15" s="54"/>
      <c r="R15" s="55" t="s">
        <v>37</v>
      </c>
      <c r="S15" s="48"/>
      <c r="T15" s="45"/>
      <c r="U15" s="48" t="s">
        <v>123</v>
      </c>
      <c r="V15" s="48"/>
      <c r="W15" s="48"/>
      <c r="X15" s="45" t="s">
        <v>23</v>
      </c>
      <c r="AL15" s="48"/>
      <c r="AM15" s="48"/>
      <c r="AN15" s="47"/>
      <c r="AO15" s="48"/>
      <c r="AP15" s="48"/>
      <c r="AQ15" s="48"/>
      <c r="AR15" s="48"/>
      <c r="AS15" s="48"/>
      <c r="AT15" s="48"/>
      <c r="AU15" s="48"/>
      <c r="AV15" s="48"/>
    </row>
    <row r="16" spans="1:59" ht="12.75">
      <c r="A16" s="58">
        <v>1</v>
      </c>
      <c r="B16" s="47">
        <v>46265</v>
      </c>
      <c r="C16" s="44" t="s">
        <v>121</v>
      </c>
      <c r="D16" s="49" t="s">
        <v>128</v>
      </c>
      <c r="E16" s="48"/>
      <c r="F16" s="46"/>
      <c r="G16" s="48"/>
      <c r="H16" s="48"/>
      <c r="I16" s="49"/>
      <c r="J16" s="48"/>
      <c r="K16" s="48"/>
      <c r="L16" s="48"/>
      <c r="M16" s="48"/>
      <c r="N16" s="48"/>
      <c r="O16" s="44" t="s">
        <v>146</v>
      </c>
      <c r="P16" s="53"/>
      <c r="Q16" s="54">
        <v>40050</v>
      </c>
      <c r="R16" s="55" t="s">
        <v>37</v>
      </c>
      <c r="S16" s="48"/>
      <c r="T16" s="45"/>
      <c r="U16" s="48"/>
      <c r="V16" s="48"/>
      <c r="W16" s="48"/>
      <c r="X16" s="45" t="s">
        <v>23</v>
      </c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</row>
    <row r="17" spans="1:48" ht="12.75">
      <c r="A17" s="58">
        <v>1</v>
      </c>
      <c r="B17" s="47">
        <v>46265</v>
      </c>
      <c r="C17" s="44" t="s">
        <v>85</v>
      </c>
      <c r="D17" s="49" t="s">
        <v>124</v>
      </c>
      <c r="E17" s="48"/>
      <c r="F17" s="46"/>
      <c r="G17" s="48"/>
      <c r="H17" s="48"/>
      <c r="I17" s="49" t="s">
        <v>124</v>
      </c>
      <c r="J17" s="48"/>
      <c r="K17" s="48"/>
      <c r="L17" s="48"/>
      <c r="M17" s="48"/>
      <c r="N17" s="48"/>
      <c r="O17" s="44" t="s">
        <v>147</v>
      </c>
      <c r="P17" s="53"/>
      <c r="Q17" s="54">
        <f>SUM(P13:P15)-Q16</f>
        <v>2182725</v>
      </c>
      <c r="R17" s="55" t="s">
        <v>37</v>
      </c>
      <c r="S17" s="48"/>
      <c r="T17" s="45" t="s">
        <v>120</v>
      </c>
      <c r="U17" s="48"/>
      <c r="V17" s="48"/>
      <c r="W17" s="48"/>
      <c r="X17" s="45" t="s">
        <v>23</v>
      </c>
      <c r="AL17" s="48" t="s">
        <v>148</v>
      </c>
      <c r="AM17" s="48"/>
      <c r="AN17" s="47">
        <v>46265</v>
      </c>
      <c r="AO17" s="48"/>
      <c r="AP17" s="48"/>
      <c r="AQ17" s="48"/>
      <c r="AR17" s="48"/>
      <c r="AS17" s="48"/>
      <c r="AT17" s="48"/>
      <c r="AU17" s="48"/>
      <c r="AV17" s="49" t="s">
        <v>149</v>
      </c>
    </row>
    <row r="18" spans="1:48" ht="13.5">
      <c r="A18" s="58">
        <v>1</v>
      </c>
      <c r="B18" s="47">
        <v>46265</v>
      </c>
      <c r="C18" s="44" t="s">
        <v>121</v>
      </c>
      <c r="D18" s="49" t="s">
        <v>125</v>
      </c>
      <c r="E18" s="48" t="s">
        <v>126</v>
      </c>
      <c r="F18" s="46" t="s">
        <v>122</v>
      </c>
      <c r="G18" s="48"/>
      <c r="H18" s="48"/>
      <c r="I18" s="49"/>
      <c r="J18" s="48"/>
      <c r="K18" s="48"/>
      <c r="L18" s="48"/>
      <c r="M18" s="48"/>
      <c r="N18" s="48"/>
      <c r="O18" s="44" t="s">
        <v>150</v>
      </c>
      <c r="P18" s="53">
        <v>78400</v>
      </c>
      <c r="Q18" s="54"/>
      <c r="R18" s="55" t="s">
        <v>37</v>
      </c>
      <c r="S18" s="48"/>
      <c r="T18" s="45"/>
      <c r="U18" s="48"/>
      <c r="V18" s="48"/>
      <c r="W18" s="48"/>
      <c r="X18" s="45" t="s">
        <v>23</v>
      </c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</row>
    <row r="19" spans="1:48" ht="12.75">
      <c r="A19" s="58">
        <v>1</v>
      </c>
      <c r="B19" s="47">
        <v>46265</v>
      </c>
      <c r="C19" s="44" t="s">
        <v>121</v>
      </c>
      <c r="D19" s="49" t="s">
        <v>127</v>
      </c>
      <c r="E19" s="48" t="s">
        <v>126</v>
      </c>
      <c r="F19" s="46" t="s">
        <v>122</v>
      </c>
      <c r="G19" s="48"/>
      <c r="H19" s="48"/>
      <c r="I19" s="49"/>
      <c r="J19" s="48"/>
      <c r="K19" s="48"/>
      <c r="L19" s="48"/>
      <c r="M19" s="48"/>
      <c r="N19" s="48"/>
      <c r="O19" s="44" t="s">
        <v>151</v>
      </c>
      <c r="P19" s="53">
        <v>1762500</v>
      </c>
      <c r="Q19" s="54"/>
      <c r="R19" s="55" t="s">
        <v>37</v>
      </c>
      <c r="S19" s="48"/>
      <c r="T19" s="45"/>
      <c r="U19" s="48"/>
      <c r="V19" s="48"/>
      <c r="W19" s="48"/>
      <c r="X19" s="45" t="s">
        <v>23</v>
      </c>
    </row>
    <row r="20" spans="1:48" ht="12.75">
      <c r="A20" s="58">
        <v>1</v>
      </c>
      <c r="B20" s="47">
        <v>46265</v>
      </c>
      <c r="C20" s="44" t="s">
        <v>121</v>
      </c>
      <c r="D20" s="49" t="s">
        <v>119</v>
      </c>
      <c r="E20" s="48"/>
      <c r="F20" s="46"/>
      <c r="G20" s="48"/>
      <c r="H20" s="48"/>
      <c r="I20" s="49"/>
      <c r="J20" s="48"/>
      <c r="K20" s="48"/>
      <c r="L20" s="48"/>
      <c r="M20" s="48"/>
      <c r="N20" s="48"/>
      <c r="O20" s="57" t="s">
        <v>152</v>
      </c>
      <c r="P20" s="53">
        <v>202499</v>
      </c>
      <c r="Q20" s="54"/>
      <c r="R20" s="55" t="s">
        <v>37</v>
      </c>
      <c r="S20" s="48"/>
      <c r="T20" s="45"/>
      <c r="U20" s="48"/>
      <c r="V20" s="48"/>
      <c r="W20" s="48"/>
      <c r="X20" s="45" t="s">
        <v>23</v>
      </c>
      <c r="AN20" s="47"/>
    </row>
    <row r="21" spans="1:48" ht="12.75">
      <c r="A21" s="58">
        <v>1</v>
      </c>
      <c r="B21" s="47">
        <v>46265</v>
      </c>
      <c r="C21" s="44" t="s">
        <v>121</v>
      </c>
      <c r="D21" s="49" t="s">
        <v>128</v>
      </c>
      <c r="E21" s="48"/>
      <c r="F21" s="46"/>
      <c r="G21" s="48"/>
      <c r="H21" s="48"/>
      <c r="I21" s="49"/>
      <c r="J21" s="48"/>
      <c r="K21" s="48"/>
      <c r="L21" s="48"/>
      <c r="M21" s="48"/>
      <c r="N21" s="48"/>
      <c r="O21" s="44" t="s">
        <v>153</v>
      </c>
      <c r="P21" s="53"/>
      <c r="Q21" s="54">
        <v>36818</v>
      </c>
      <c r="R21" s="55" t="s">
        <v>37</v>
      </c>
      <c r="S21" s="48"/>
      <c r="T21" s="45"/>
      <c r="U21" s="48"/>
      <c r="V21" s="48"/>
      <c r="W21" s="48"/>
      <c r="X21" s="45" t="s">
        <v>23</v>
      </c>
      <c r="AN21" s="48"/>
      <c r="AO21" s="48"/>
      <c r="AP21" s="48"/>
      <c r="AQ21" s="48"/>
      <c r="AR21" s="48"/>
      <c r="AS21" s="48"/>
      <c r="AT21" s="48"/>
      <c r="AU21" s="48"/>
      <c r="AV21" s="48"/>
    </row>
    <row r="22" spans="1:48" ht="12.75">
      <c r="A22" s="58">
        <v>1</v>
      </c>
      <c r="B22" s="47">
        <v>46265</v>
      </c>
      <c r="C22" s="44" t="s">
        <v>85</v>
      </c>
      <c r="D22" s="49" t="s">
        <v>124</v>
      </c>
      <c r="E22" s="48"/>
      <c r="F22" s="46"/>
      <c r="G22" s="48"/>
      <c r="H22" s="48"/>
      <c r="I22" s="49" t="s">
        <v>124</v>
      </c>
      <c r="J22" s="48"/>
      <c r="K22" s="48"/>
      <c r="L22" s="48"/>
      <c r="M22" s="48"/>
      <c r="N22" s="48"/>
      <c r="O22" s="44" t="s">
        <v>154</v>
      </c>
      <c r="P22" s="53"/>
      <c r="Q22" s="54">
        <v>2006581</v>
      </c>
      <c r="R22" s="55" t="s">
        <v>37</v>
      </c>
      <c r="S22" s="48"/>
      <c r="T22" s="45" t="s">
        <v>120</v>
      </c>
      <c r="U22" s="48"/>
      <c r="V22" s="48"/>
      <c r="W22" s="48"/>
      <c r="X22" s="45" t="s">
        <v>23</v>
      </c>
      <c r="AL22" s="48" t="s">
        <v>155</v>
      </c>
      <c r="AN22" s="47">
        <v>46265</v>
      </c>
      <c r="AO22" s="48"/>
      <c r="AP22" s="48"/>
      <c r="AQ22" s="48"/>
      <c r="AR22" s="48"/>
      <c r="AS22" s="48"/>
      <c r="AT22" s="48"/>
      <c r="AU22" s="48"/>
      <c r="AV22" s="49" t="s">
        <v>156</v>
      </c>
    </row>
    <row r="23" spans="1:48" ht="12.75">
      <c r="A23" s="58"/>
      <c r="B23" s="47"/>
      <c r="C23" s="44"/>
      <c r="D23" s="49"/>
      <c r="E23" s="48"/>
      <c r="F23" s="46"/>
      <c r="G23" s="48"/>
      <c r="H23" s="48"/>
      <c r="I23" s="49"/>
      <c r="J23" s="48"/>
      <c r="K23" s="48"/>
      <c r="L23" s="48"/>
      <c r="M23" s="48"/>
      <c r="N23" s="48"/>
      <c r="O23" s="44"/>
      <c r="P23" s="53"/>
      <c r="Q23" s="54"/>
      <c r="R23" s="55"/>
      <c r="S23" s="48"/>
      <c r="T23" s="45"/>
      <c r="U23" s="48"/>
      <c r="V23" s="48"/>
      <c r="W23" s="48"/>
      <c r="X23" s="45"/>
    </row>
    <row r="24" spans="1:48" ht="12.75">
      <c r="A24" s="58"/>
      <c r="B24" s="47"/>
      <c r="C24" s="44"/>
      <c r="D24" s="49"/>
      <c r="E24" s="48"/>
      <c r="F24" s="46"/>
      <c r="G24" s="48"/>
      <c r="H24" s="48"/>
      <c r="I24" s="49"/>
      <c r="J24" s="48"/>
      <c r="K24" s="48"/>
      <c r="L24" s="48"/>
      <c r="M24" s="48"/>
      <c r="N24" s="48"/>
      <c r="O24" s="44"/>
      <c r="P24" s="53"/>
      <c r="Q24" s="54"/>
      <c r="R24" s="55"/>
      <c r="S24" s="48"/>
      <c r="T24" s="45"/>
      <c r="U24" s="48"/>
      <c r="V24" s="48"/>
      <c r="W24" s="48"/>
      <c r="X24" s="45"/>
    </row>
    <row r="25" spans="1:48" ht="12.75">
      <c r="A25" s="58"/>
      <c r="B25" s="47"/>
      <c r="C25" s="44"/>
      <c r="D25" s="49"/>
      <c r="E25" s="48"/>
      <c r="F25" s="46"/>
      <c r="G25" s="48"/>
      <c r="H25" s="48"/>
      <c r="I25" s="49"/>
      <c r="J25" s="48"/>
      <c r="K25" s="48"/>
      <c r="L25" s="48"/>
      <c r="M25" s="48"/>
      <c r="N25" s="48"/>
      <c r="O25" s="57"/>
      <c r="P25" s="53"/>
      <c r="Q25" s="54"/>
      <c r="R25" s="55"/>
      <c r="S25" s="48"/>
      <c r="T25" s="45"/>
      <c r="U25" s="48"/>
      <c r="V25" s="48"/>
      <c r="W25" s="48"/>
      <c r="X25" s="45"/>
      <c r="AN25" s="47"/>
    </row>
    <row r="26" spans="1:48" ht="12.75">
      <c r="A26" s="58"/>
      <c r="B26" s="47"/>
      <c r="C26" s="44"/>
      <c r="D26" s="49"/>
      <c r="E26" s="48"/>
      <c r="F26" s="46"/>
      <c r="G26" s="48"/>
      <c r="H26" s="48"/>
      <c r="I26" s="49"/>
      <c r="J26" s="48"/>
      <c r="K26" s="48"/>
      <c r="L26" s="48"/>
      <c r="M26" s="48"/>
      <c r="N26" s="48"/>
      <c r="O26" s="44"/>
      <c r="P26" s="53"/>
      <c r="Q26" s="54"/>
      <c r="R26" s="55"/>
      <c r="S26" s="48"/>
      <c r="T26" s="45"/>
      <c r="U26" s="48"/>
      <c r="V26" s="48"/>
      <c r="W26" s="48"/>
      <c r="X26" s="45"/>
    </row>
    <row r="27" spans="1:48" ht="12.75">
      <c r="A27" s="58"/>
      <c r="B27" s="47"/>
      <c r="C27" s="44"/>
      <c r="D27" s="49"/>
      <c r="E27" s="48"/>
      <c r="F27" s="46"/>
      <c r="G27" s="48"/>
      <c r="H27" s="48"/>
      <c r="I27" s="49"/>
      <c r="J27" s="48"/>
      <c r="K27" s="48"/>
      <c r="L27" s="48"/>
      <c r="M27" s="48"/>
      <c r="N27" s="48"/>
      <c r="O27" s="44"/>
      <c r="P27" s="53"/>
      <c r="Q27" s="54"/>
      <c r="R27" s="55"/>
      <c r="S27" s="48"/>
      <c r="T27" s="45"/>
      <c r="U27" s="48"/>
      <c r="V27" s="48"/>
      <c r="W27" s="48"/>
      <c r="X27" s="45"/>
      <c r="AN27" s="47"/>
    </row>
    <row r="28" spans="1:48" ht="12.75">
      <c r="A28" s="58"/>
      <c r="B28" s="47"/>
      <c r="C28" s="44"/>
      <c r="D28" s="49"/>
      <c r="E28" s="48"/>
      <c r="F28" s="46"/>
      <c r="G28" s="48"/>
      <c r="H28" s="48"/>
      <c r="I28" s="49"/>
      <c r="J28" s="48"/>
      <c r="K28" s="48"/>
      <c r="L28" s="48"/>
      <c r="M28" s="48"/>
      <c r="N28" s="48"/>
      <c r="O28" s="44"/>
      <c r="P28" s="53"/>
      <c r="Q28" s="54"/>
      <c r="R28" s="55"/>
      <c r="S28" s="48"/>
      <c r="T28" s="45"/>
      <c r="U28" s="48"/>
      <c r="V28" s="48"/>
      <c r="W28" s="48"/>
      <c r="X28" s="45"/>
    </row>
    <row r="29" spans="1:48" ht="12.75">
      <c r="A29" s="58"/>
      <c r="B29" s="47"/>
      <c r="C29" s="44"/>
      <c r="D29" s="49"/>
      <c r="E29" s="48"/>
      <c r="F29" s="46"/>
      <c r="G29" s="48"/>
      <c r="H29" s="48"/>
      <c r="I29" s="49"/>
      <c r="J29" s="48"/>
      <c r="K29" s="48"/>
      <c r="L29" s="48"/>
      <c r="M29" s="48"/>
      <c r="N29" s="48"/>
      <c r="O29" s="44"/>
      <c r="P29" s="53"/>
      <c r="Q29" s="54"/>
      <c r="R29" s="55"/>
      <c r="S29" s="48"/>
      <c r="T29" s="45"/>
      <c r="U29" s="48"/>
      <c r="V29" s="48"/>
      <c r="W29" s="48"/>
      <c r="X29" s="45"/>
    </row>
    <row r="30" spans="1:48" ht="12.75">
      <c r="A30" s="58"/>
      <c r="B30" s="47"/>
      <c r="C30" s="44"/>
      <c r="D30" s="49"/>
      <c r="E30" s="48"/>
      <c r="F30" s="46"/>
      <c r="G30" s="48"/>
      <c r="H30" s="48"/>
      <c r="I30" s="49"/>
      <c r="J30" s="48"/>
      <c r="K30" s="48"/>
      <c r="L30" s="48"/>
      <c r="M30" s="48"/>
      <c r="N30" s="48"/>
      <c r="O30" s="57"/>
      <c r="P30" s="53"/>
      <c r="Q30" s="54"/>
      <c r="R30" s="55"/>
      <c r="S30" s="48"/>
      <c r="T30" s="45"/>
      <c r="U30" s="48"/>
      <c r="V30" s="48"/>
      <c r="W30" s="48"/>
      <c r="X30" s="45"/>
      <c r="AN30" s="47"/>
    </row>
    <row r="31" spans="1:48" ht="12.75">
      <c r="A31" s="58"/>
      <c r="B31" s="47"/>
      <c r="C31" s="44"/>
      <c r="D31" s="49"/>
      <c r="E31" s="48"/>
      <c r="F31" s="46"/>
      <c r="G31" s="48"/>
      <c r="H31" s="48"/>
      <c r="I31" s="49"/>
      <c r="J31" s="48"/>
      <c r="K31" s="48"/>
      <c r="L31" s="48"/>
      <c r="M31" s="48"/>
      <c r="N31" s="48"/>
      <c r="O31" s="44"/>
      <c r="P31" s="53"/>
      <c r="Q31" s="54"/>
      <c r="R31" s="55"/>
      <c r="S31" s="48"/>
      <c r="T31" s="45"/>
      <c r="U31" s="48"/>
      <c r="V31" s="48"/>
      <c r="W31" s="48"/>
      <c r="X31" s="45"/>
    </row>
    <row r="32" spans="1:48" ht="12.75">
      <c r="A32" s="58"/>
      <c r="B32" s="47"/>
      <c r="C32" s="44"/>
      <c r="D32" s="49"/>
      <c r="E32" s="48"/>
      <c r="F32" s="46"/>
      <c r="G32" s="48"/>
      <c r="H32" s="48"/>
      <c r="I32" s="49"/>
      <c r="J32" s="48"/>
      <c r="K32" s="48"/>
      <c r="L32" s="48"/>
      <c r="M32" s="48"/>
      <c r="N32" s="48"/>
      <c r="O32" s="44"/>
      <c r="P32" s="53"/>
      <c r="Q32" s="54"/>
      <c r="R32" s="55"/>
      <c r="S32" s="48"/>
      <c r="T32" s="45"/>
      <c r="U32" s="48"/>
      <c r="V32" s="48"/>
      <c r="W32" s="48"/>
      <c r="X32" s="45"/>
      <c r="AN32" s="47"/>
    </row>
    <row r="33" spans="1:40" ht="12.75">
      <c r="A33" s="58"/>
      <c r="B33" s="47"/>
      <c r="C33" s="44"/>
      <c r="D33" s="49"/>
      <c r="E33" s="48"/>
      <c r="F33" s="46"/>
      <c r="G33" s="48"/>
      <c r="H33" s="48"/>
      <c r="I33" s="49"/>
      <c r="J33" s="48"/>
      <c r="K33" s="48"/>
      <c r="L33" s="48"/>
      <c r="M33" s="48"/>
      <c r="N33" s="48"/>
      <c r="O33" s="44"/>
      <c r="P33" s="53"/>
      <c r="Q33" s="54"/>
      <c r="R33" s="55"/>
      <c r="S33" s="48"/>
      <c r="T33" s="45"/>
      <c r="U33" s="48"/>
      <c r="V33" s="48"/>
      <c r="W33" s="48"/>
      <c r="X33" s="45"/>
    </row>
    <row r="34" spans="1:40" ht="12.75">
      <c r="A34" s="58"/>
      <c r="B34" s="47"/>
      <c r="C34" s="44"/>
      <c r="D34" s="49"/>
      <c r="E34" s="48"/>
      <c r="F34" s="46"/>
      <c r="G34" s="48"/>
      <c r="H34" s="48"/>
      <c r="I34" s="49"/>
      <c r="J34" s="48"/>
      <c r="K34" s="48"/>
      <c r="L34" s="48"/>
      <c r="M34" s="48"/>
      <c r="N34" s="48"/>
      <c r="O34" s="44"/>
      <c r="P34" s="53"/>
      <c r="Q34" s="54"/>
      <c r="R34" s="55"/>
      <c r="S34" s="48"/>
      <c r="T34" s="45"/>
      <c r="U34" s="48"/>
      <c r="V34" s="48"/>
      <c r="W34" s="48"/>
      <c r="X34" s="45"/>
    </row>
    <row r="35" spans="1:40" ht="12.75">
      <c r="A35" s="58"/>
      <c r="B35" s="47"/>
      <c r="C35" s="44"/>
      <c r="D35" s="49"/>
      <c r="E35" s="48"/>
      <c r="F35" s="46"/>
      <c r="G35" s="48"/>
      <c r="H35" s="48"/>
      <c r="I35" s="49"/>
      <c r="J35" s="48"/>
      <c r="K35" s="48"/>
      <c r="L35" s="48"/>
      <c r="M35" s="48"/>
      <c r="N35" s="48"/>
      <c r="O35" s="57"/>
      <c r="P35" s="53"/>
      <c r="Q35" s="54"/>
      <c r="R35" s="55"/>
      <c r="S35" s="48"/>
      <c r="T35" s="45"/>
      <c r="U35" s="48"/>
      <c r="V35" s="48"/>
      <c r="W35" s="48"/>
      <c r="X35" s="45"/>
      <c r="AN35" s="47"/>
    </row>
    <row r="36" spans="1:40" ht="12.75">
      <c r="A36" s="58"/>
      <c r="B36" s="47"/>
      <c r="C36" s="44"/>
      <c r="D36" s="49"/>
      <c r="E36" s="48"/>
      <c r="F36" s="46"/>
      <c r="G36" s="48"/>
      <c r="H36" s="48"/>
      <c r="I36" s="49"/>
      <c r="J36" s="48"/>
      <c r="K36" s="48"/>
      <c r="L36" s="48"/>
      <c r="M36" s="48"/>
      <c r="N36" s="48"/>
      <c r="O36" s="44"/>
      <c r="P36" s="53"/>
      <c r="Q36" s="54"/>
      <c r="R36" s="55"/>
      <c r="S36" s="48"/>
      <c r="T36" s="45"/>
      <c r="U36" s="48"/>
      <c r="V36" s="48"/>
      <c r="W36" s="48"/>
      <c r="X36" s="45"/>
    </row>
    <row r="37" spans="1:40" ht="12.75">
      <c r="A37" s="58"/>
      <c r="B37" s="47"/>
      <c r="C37" s="44"/>
      <c r="D37" s="49"/>
      <c r="E37" s="48"/>
      <c r="F37" s="46"/>
      <c r="G37" s="48"/>
      <c r="H37" s="48"/>
      <c r="I37" s="49"/>
      <c r="J37" s="48"/>
      <c r="K37" s="48"/>
      <c r="L37" s="48"/>
      <c r="M37" s="48"/>
      <c r="N37" s="48"/>
      <c r="O37" s="44"/>
      <c r="P37" s="53"/>
      <c r="Q37" s="54"/>
      <c r="R37" s="55"/>
      <c r="S37" s="48"/>
      <c r="T37" s="45"/>
      <c r="U37" s="48"/>
      <c r="V37" s="48"/>
      <c r="W37" s="48"/>
      <c r="X37" s="45"/>
      <c r="AN37" s="47"/>
    </row>
    <row r="38" spans="1:40" ht="12.75">
      <c r="A38" s="58"/>
      <c r="B38" s="47"/>
      <c r="C38" s="44"/>
      <c r="D38" s="49"/>
      <c r="E38" s="48"/>
      <c r="F38" s="46"/>
      <c r="G38" s="48"/>
      <c r="H38" s="48"/>
      <c r="I38" s="49"/>
      <c r="J38" s="48"/>
      <c r="K38" s="48"/>
      <c r="L38" s="48"/>
      <c r="M38" s="48"/>
      <c r="N38" s="48"/>
      <c r="O38" s="44"/>
      <c r="P38" s="53"/>
      <c r="Q38" s="54"/>
      <c r="R38" s="55"/>
      <c r="S38" s="48"/>
      <c r="T38" s="45"/>
      <c r="U38" s="48"/>
      <c r="V38" s="48"/>
      <c r="W38" s="48"/>
      <c r="X38" s="45"/>
    </row>
    <row r="39" spans="1:40" ht="12.75">
      <c r="A39" s="58"/>
      <c r="B39" s="47"/>
      <c r="C39" s="44"/>
      <c r="D39" s="49"/>
      <c r="E39" s="48"/>
      <c r="F39" s="46"/>
      <c r="G39" s="48"/>
      <c r="H39" s="48"/>
      <c r="I39" s="49"/>
      <c r="J39" s="48"/>
      <c r="K39" s="48"/>
      <c r="L39" s="48"/>
      <c r="M39" s="48"/>
      <c r="N39" s="48"/>
      <c r="O39" s="44"/>
      <c r="P39" s="53"/>
      <c r="Q39" s="54"/>
      <c r="R39" s="55"/>
      <c r="S39" s="48"/>
      <c r="T39" s="45"/>
      <c r="U39" s="48"/>
      <c r="V39" s="48"/>
      <c r="W39" s="48"/>
      <c r="X39" s="45"/>
    </row>
    <row r="40" spans="1:40" ht="12.75">
      <c r="A40" s="58"/>
      <c r="B40" s="47"/>
      <c r="C40" s="44"/>
      <c r="D40" s="49"/>
      <c r="E40" s="48"/>
      <c r="F40" s="46"/>
      <c r="G40" s="48"/>
      <c r="H40" s="48"/>
      <c r="I40" s="49"/>
      <c r="J40" s="48"/>
      <c r="K40" s="48"/>
      <c r="L40" s="48"/>
      <c r="M40" s="48"/>
      <c r="N40" s="48"/>
      <c r="O40" s="57"/>
      <c r="P40" s="53"/>
      <c r="Q40" s="54"/>
      <c r="R40" s="55"/>
      <c r="S40" s="48"/>
      <c r="T40" s="45"/>
      <c r="U40" s="48"/>
      <c r="V40" s="48"/>
      <c r="W40" s="48"/>
      <c r="X40" s="45"/>
    </row>
    <row r="41" spans="1:40" ht="12.75">
      <c r="A41" s="58"/>
      <c r="B41" s="47"/>
      <c r="C41" s="44"/>
      <c r="D41" s="49"/>
      <c r="E41" s="48"/>
      <c r="F41" s="46"/>
      <c r="G41" s="48"/>
      <c r="H41" s="48"/>
      <c r="I41" s="49"/>
      <c r="J41" s="48"/>
      <c r="K41" s="48"/>
      <c r="L41" s="48"/>
      <c r="M41" s="48"/>
      <c r="N41" s="48"/>
      <c r="O41" s="44"/>
      <c r="P41" s="53"/>
      <c r="Q41" s="54"/>
      <c r="R41" s="55"/>
      <c r="S41" s="48"/>
      <c r="T41" s="45"/>
      <c r="U41" s="48"/>
      <c r="V41" s="48"/>
      <c r="W41" s="48"/>
      <c r="X41" s="45"/>
    </row>
    <row r="42" spans="1:40" ht="12.75">
      <c r="A42" s="58"/>
      <c r="B42" s="47"/>
      <c r="C42" s="44"/>
      <c r="D42" s="49"/>
      <c r="E42" s="48"/>
      <c r="F42" s="46"/>
      <c r="G42" s="48"/>
      <c r="H42" s="48"/>
      <c r="I42" s="49"/>
      <c r="J42" s="48"/>
      <c r="K42" s="48"/>
      <c r="L42" s="48"/>
      <c r="M42" s="48"/>
      <c r="N42" s="48"/>
      <c r="O42" s="44"/>
      <c r="P42" s="53"/>
      <c r="Q42" s="54"/>
      <c r="R42" s="55"/>
      <c r="S42" s="48"/>
      <c r="T42" s="45"/>
      <c r="U42" s="48"/>
      <c r="V42" s="48"/>
      <c r="W42" s="48"/>
      <c r="X42" s="45"/>
      <c r="AN42" s="47"/>
    </row>
    <row r="43" spans="1:40" ht="12.75">
      <c r="A43" s="58"/>
      <c r="B43" s="47"/>
      <c r="C43" s="44"/>
      <c r="D43" s="49"/>
      <c r="E43" s="48"/>
      <c r="F43" s="46"/>
      <c r="G43" s="48"/>
      <c r="H43" s="48"/>
      <c r="I43" s="49"/>
      <c r="J43" s="48"/>
      <c r="K43" s="48"/>
      <c r="L43" s="48"/>
      <c r="M43" s="48"/>
      <c r="N43" s="48"/>
      <c r="O43" s="44"/>
      <c r="P43" s="53"/>
      <c r="Q43" s="54"/>
      <c r="R43" s="55"/>
      <c r="S43" s="48"/>
      <c r="T43" s="45"/>
      <c r="U43" s="48"/>
      <c r="V43" s="48"/>
      <c r="W43" s="48"/>
      <c r="X43" s="45"/>
    </row>
    <row r="44" spans="1:40" ht="12.75">
      <c r="A44" s="58"/>
      <c r="B44" s="47"/>
      <c r="C44" s="44"/>
      <c r="D44" s="49"/>
      <c r="E44" s="48"/>
      <c r="F44" s="46"/>
      <c r="G44" s="48"/>
      <c r="H44" s="48"/>
      <c r="I44" s="49"/>
      <c r="J44" s="48"/>
      <c r="K44" s="48"/>
      <c r="L44" s="48"/>
      <c r="M44" s="48"/>
      <c r="N44" s="48"/>
      <c r="O44" s="44"/>
      <c r="P44" s="53"/>
      <c r="Q44" s="54"/>
      <c r="R44" s="55"/>
      <c r="S44" s="48"/>
      <c r="T44" s="45"/>
      <c r="U44" s="48"/>
      <c r="V44" s="48"/>
      <c r="W44" s="48"/>
      <c r="X44" s="45"/>
    </row>
    <row r="45" spans="1:40" ht="12.75">
      <c r="A45" s="58"/>
      <c r="B45" s="47"/>
      <c r="C45" s="44"/>
      <c r="D45" s="49"/>
      <c r="E45" s="48"/>
      <c r="F45" s="46"/>
      <c r="G45" s="48"/>
      <c r="H45" s="48"/>
      <c r="I45" s="49"/>
      <c r="J45" s="48"/>
      <c r="K45" s="48"/>
      <c r="L45" s="48"/>
      <c r="M45" s="48"/>
      <c r="N45" s="48"/>
      <c r="O45" s="57"/>
      <c r="P45" s="53"/>
      <c r="Q45" s="54"/>
      <c r="R45" s="55"/>
      <c r="S45" s="48"/>
      <c r="T45" s="45"/>
      <c r="U45" s="48"/>
      <c r="V45" s="48"/>
      <c r="W45" s="48"/>
      <c r="X45" s="45"/>
    </row>
    <row r="46" spans="1:40" ht="12.75">
      <c r="A46" s="58"/>
      <c r="B46" s="47"/>
      <c r="C46" s="44"/>
      <c r="D46" s="49"/>
      <c r="E46" s="48"/>
      <c r="F46" s="46"/>
      <c r="G46" s="48"/>
      <c r="H46" s="48"/>
      <c r="I46" s="49"/>
      <c r="J46" s="48"/>
      <c r="K46" s="48"/>
      <c r="L46" s="48"/>
      <c r="M46" s="48"/>
      <c r="N46" s="48"/>
      <c r="O46" s="44"/>
      <c r="P46" s="53"/>
      <c r="Q46" s="54"/>
      <c r="R46" s="55"/>
      <c r="S46" s="48"/>
      <c r="T46" s="45"/>
      <c r="U46" s="48"/>
      <c r="V46" s="48"/>
      <c r="W46" s="48"/>
      <c r="X46" s="45"/>
    </row>
    <row r="47" spans="1:40" ht="12.75">
      <c r="A47" s="58"/>
      <c r="B47" s="47"/>
      <c r="C47" s="44"/>
      <c r="D47" s="49"/>
      <c r="E47" s="48"/>
      <c r="F47" s="46"/>
      <c r="G47" s="48"/>
      <c r="H47" s="48"/>
      <c r="I47" s="49"/>
      <c r="J47" s="48"/>
      <c r="K47" s="48"/>
      <c r="L47" s="48"/>
      <c r="M47" s="48"/>
      <c r="N47" s="48"/>
      <c r="O47" s="44"/>
      <c r="P47" s="53"/>
      <c r="Q47" s="54"/>
      <c r="R47" s="55"/>
      <c r="S47" s="48"/>
      <c r="T47" s="45"/>
      <c r="U47" s="48"/>
      <c r="V47" s="48"/>
      <c r="W47" s="48"/>
      <c r="X47" s="45"/>
      <c r="AN47" s="47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2"/>
  <sheetViews>
    <sheetView workbookViewId="0"/>
  </sheetViews>
  <sheetFormatPr defaultRowHeight="12"/>
  <sheetData>
    <row r="2" spans="1:15">
      <c r="A2" s="2" t="s">
        <v>1</v>
      </c>
      <c r="D2" s="3" t="s">
        <v>5</v>
      </c>
      <c r="E2" s="3" t="s">
        <v>32</v>
      </c>
      <c r="H2" s="3" t="s">
        <v>53</v>
      </c>
      <c r="I2" s="3" t="s">
        <v>54</v>
      </c>
      <c r="L2" s="4" t="s">
        <v>26</v>
      </c>
      <c r="O2" s="2" t="s">
        <v>10</v>
      </c>
    </row>
    <row r="3" spans="1:15">
      <c r="A3" s="1" t="s">
        <v>31</v>
      </c>
      <c r="B3" s="1" t="s">
        <v>31</v>
      </c>
      <c r="D3" s="6" t="s">
        <v>33</v>
      </c>
      <c r="E3" s="6" t="s">
        <v>34</v>
      </c>
      <c r="H3" s="6" t="s">
        <v>55</v>
      </c>
      <c r="I3" s="6" t="s">
        <v>56</v>
      </c>
      <c r="L3" s="5" t="s">
        <v>22</v>
      </c>
      <c r="O3" s="1" t="s">
        <v>20</v>
      </c>
    </row>
    <row r="4" spans="1:15">
      <c r="A4" s="5" t="s">
        <v>27</v>
      </c>
      <c r="D4" s="6" t="s">
        <v>35</v>
      </c>
      <c r="E4" s="6" t="s">
        <v>36</v>
      </c>
      <c r="H4" s="6" t="s">
        <v>57</v>
      </c>
      <c r="I4" s="6" t="s">
        <v>58</v>
      </c>
      <c r="O4" s="1" t="s">
        <v>72</v>
      </c>
    </row>
    <row r="5" spans="1:15">
      <c r="A5" s="1" t="s">
        <v>28</v>
      </c>
      <c r="D5" s="6" t="s">
        <v>37</v>
      </c>
      <c r="E5" s="6" t="s">
        <v>38</v>
      </c>
      <c r="H5" s="6" t="s">
        <v>59</v>
      </c>
      <c r="I5" s="6" t="s">
        <v>60</v>
      </c>
    </row>
    <row r="6" spans="1:15">
      <c r="A6" s="1" t="s">
        <v>30</v>
      </c>
      <c r="D6" s="6" t="s">
        <v>39</v>
      </c>
      <c r="E6" s="6" t="s">
        <v>40</v>
      </c>
      <c r="H6" s="6" t="s">
        <v>61</v>
      </c>
      <c r="I6" s="6" t="s">
        <v>62</v>
      </c>
    </row>
    <row r="7" spans="1:15">
      <c r="A7" s="1" t="s">
        <v>29</v>
      </c>
      <c r="D7" s="6" t="s">
        <v>41</v>
      </c>
      <c r="E7" s="6" t="s">
        <v>42</v>
      </c>
      <c r="H7" s="6" t="s">
        <v>63</v>
      </c>
      <c r="I7" s="6" t="s">
        <v>64</v>
      </c>
    </row>
    <row r="8" spans="1:15">
      <c r="D8" s="6" t="s">
        <v>43</v>
      </c>
      <c r="E8" s="6" t="s">
        <v>44</v>
      </c>
      <c r="H8" s="6" t="s">
        <v>65</v>
      </c>
      <c r="I8" s="6" t="s">
        <v>66</v>
      </c>
    </row>
    <row r="9" spans="1:15">
      <c r="D9" s="6" t="s">
        <v>45</v>
      </c>
      <c r="E9" s="6" t="s">
        <v>46</v>
      </c>
      <c r="H9" s="6" t="s">
        <v>21</v>
      </c>
      <c r="I9" s="6" t="s">
        <v>67</v>
      </c>
    </row>
    <row r="10" spans="1:15">
      <c r="D10" s="6" t="s">
        <v>47</v>
      </c>
      <c r="E10" s="6" t="s">
        <v>48</v>
      </c>
      <c r="H10" s="6" t="s">
        <v>68</v>
      </c>
      <c r="I10" s="6" t="s">
        <v>69</v>
      </c>
    </row>
    <row r="11" spans="1:15">
      <c r="D11" s="6" t="s">
        <v>49</v>
      </c>
      <c r="E11" s="6" t="s">
        <v>50</v>
      </c>
      <c r="H11" s="6" t="s">
        <v>70</v>
      </c>
      <c r="I11" s="6" t="s">
        <v>71</v>
      </c>
    </row>
    <row r="12" spans="1:15">
      <c r="D12" s="6" t="s">
        <v>51</v>
      </c>
      <c r="E12" s="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LedgerJournalTrans</vt:lpstr>
      <vt:lpstr>Costcenter</vt:lpstr>
      <vt:lpstr>Sub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accounting2</cp:lastModifiedBy>
  <dcterms:created xsi:type="dcterms:W3CDTF">2016-07-26T01:27:53Z</dcterms:created>
  <dcterms:modified xsi:type="dcterms:W3CDTF">2026-09-02T06:38:40Z</dcterms:modified>
</cp:coreProperties>
</file>